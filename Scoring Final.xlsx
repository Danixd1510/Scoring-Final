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volvogroup.sharepoint.com/sites/unit-creditos/Shared Documents/FINANCIAMIENTOS/1A   -Modelo de carpetas (No borrar)/"/>
    </mc:Choice>
  </mc:AlternateContent>
  <xr:revisionPtr revIDLastSave="233" documentId="13_ncr:1_{EB20D61E-CED4-4EBE-B709-C8C9603C8985}" xr6:coauthVersionLast="47" xr6:coauthVersionMax="47" xr10:uidLastSave="{C0196DC4-F581-4AC1-8C99-CB5A20F666A0}"/>
  <bookViews>
    <workbookView xWindow="-110" yWindow="-110" windowWidth="19420" windowHeight="10300" activeTab="5" xr2:uid="{00000000-000D-0000-FFFF-FFFF00000000}"/>
  </bookViews>
  <sheets>
    <sheet name="2023" sheetId="1" r:id="rId1"/>
    <sheet name="2024" sheetId="2" r:id="rId2"/>
    <sheet name="2025" sheetId="3" r:id="rId3"/>
    <sheet name="2023-2025" sheetId="4" r:id="rId4"/>
    <sheet name="Comparivo" sheetId="5" r:id="rId5"/>
    <sheet name="SCORING_FINAL" sheetId="6" r:id="rId6"/>
    <sheet name="LISTAS" sheetId="7" r:id="rId7"/>
  </sheets>
  <definedNames>
    <definedName name="CV_22">'2023-2025'!$E$45</definedName>
    <definedName name="CV_23">'2023-2025'!$D$45</definedName>
    <definedName name="CV_24">'2023-2025'!$C$45</definedName>
    <definedName name="PASIV_22">'2023-2025'!$I$15</definedName>
    <definedName name="PASIV_23">'2023-2025'!$H$15</definedName>
    <definedName name="PASIV_24">'2023-2025'!$G$15</definedName>
    <definedName name="PATRI_23">'2023-2025'!$H$29</definedName>
    <definedName name="PATRI_24">'2023-2025'!$G$29</definedName>
    <definedName name="PATRIM_22">'2023-2025'!$I$29</definedName>
    <definedName name="UTI_22">'2023-2025'!$E$67</definedName>
    <definedName name="UTI_23">'2023-2025'!$D$67</definedName>
    <definedName name="UTI_24">'2023-2025'!$C$67</definedName>
    <definedName name="VENTAS_22">'2023-2025'!$E$44</definedName>
    <definedName name="VENTAS_23">'2023-2025'!$D$44</definedName>
    <definedName name="VENTAS_24">'2023-2025'!$C$44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6" l="1"/>
  <c r="B14" i="6"/>
  <c r="B13" i="6"/>
  <c r="B12" i="6"/>
  <c r="B11" i="6"/>
  <c r="B10" i="6"/>
  <c r="B9" i="6"/>
  <c r="E69" i="4"/>
  <c r="E68" i="4"/>
  <c r="E67" i="4"/>
  <c r="G15" i="4"/>
  <c r="G32" i="4" s="1"/>
  <c r="E43" i="4"/>
  <c r="D43" i="4"/>
  <c r="C43" i="4"/>
  <c r="I37" i="4"/>
  <c r="G29" i="4"/>
  <c r="C35" i="3"/>
  <c r="C45" i="4"/>
  <c r="B23" i="6"/>
  <c r="K15" i="6"/>
  <c r="D12" i="5" s="1"/>
  <c r="D11" i="5"/>
  <c r="D5" i="5"/>
  <c r="D6" i="5" s="1"/>
  <c r="C12" i="6"/>
  <c r="E12" i="6" s="1"/>
  <c r="D16" i="6"/>
  <c r="I15" i="6"/>
  <c r="K13" i="6"/>
  <c r="E5" i="6" s="1"/>
  <c r="C10" i="6"/>
  <c r="E10" i="6" s="1"/>
  <c r="E66" i="4"/>
  <c r="D66" i="4"/>
  <c r="C66" i="4"/>
  <c r="C63" i="4"/>
  <c r="E60" i="4"/>
  <c r="C60" i="4"/>
  <c r="E59" i="4"/>
  <c r="C59" i="4"/>
  <c r="E58" i="4"/>
  <c r="D58" i="4"/>
  <c r="C58" i="4"/>
  <c r="E57" i="4"/>
  <c r="D57" i="4"/>
  <c r="C57" i="4"/>
  <c r="E56" i="4"/>
  <c r="D56" i="4"/>
  <c r="C56" i="4"/>
  <c r="E55" i="4"/>
  <c r="D55" i="4"/>
  <c r="C55" i="4"/>
  <c r="E54" i="4"/>
  <c r="D54" i="4"/>
  <c r="C54" i="4"/>
  <c r="E53" i="4"/>
  <c r="D53" i="4"/>
  <c r="C53" i="4"/>
  <c r="E52" i="4"/>
  <c r="D52" i="4"/>
  <c r="C52" i="4"/>
  <c r="E49" i="4"/>
  <c r="D49" i="4"/>
  <c r="C49" i="4"/>
  <c r="E48" i="4"/>
  <c r="D48" i="4"/>
  <c r="C48" i="4"/>
  <c r="E45" i="4"/>
  <c r="D45" i="4"/>
  <c r="E42" i="4"/>
  <c r="F3" i="5" s="1"/>
  <c r="D42" i="4"/>
  <c r="E3" i="5" s="1"/>
  <c r="C42" i="4"/>
  <c r="D3" i="5" s="1"/>
  <c r="E34" i="4"/>
  <c r="D34" i="4"/>
  <c r="C34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I28" i="4"/>
  <c r="H28" i="4"/>
  <c r="G28" i="4"/>
  <c r="E28" i="4"/>
  <c r="D28" i="4"/>
  <c r="C28" i="4"/>
  <c r="I27" i="4"/>
  <c r="H27" i="4"/>
  <c r="G27" i="4"/>
  <c r="E27" i="4"/>
  <c r="D27" i="4"/>
  <c r="C27" i="4"/>
  <c r="I26" i="4"/>
  <c r="H26" i="4"/>
  <c r="G26" i="4"/>
  <c r="E26" i="4"/>
  <c r="D26" i="4"/>
  <c r="C26" i="4"/>
  <c r="I25" i="4"/>
  <c r="H25" i="4"/>
  <c r="G25" i="4"/>
  <c r="E25" i="4"/>
  <c r="D25" i="4"/>
  <c r="C25" i="4"/>
  <c r="I24" i="4"/>
  <c r="H24" i="4"/>
  <c r="G24" i="4"/>
  <c r="E24" i="4"/>
  <c r="D24" i="4"/>
  <c r="C24" i="4"/>
  <c r="I23" i="4"/>
  <c r="H23" i="4"/>
  <c r="G23" i="4"/>
  <c r="E23" i="4"/>
  <c r="D23" i="4"/>
  <c r="C23" i="4"/>
  <c r="I22" i="4"/>
  <c r="H22" i="4"/>
  <c r="G22" i="4"/>
  <c r="E22" i="4"/>
  <c r="D22" i="4"/>
  <c r="C22" i="4"/>
  <c r="I21" i="4"/>
  <c r="H21" i="4"/>
  <c r="G21" i="4"/>
  <c r="E21" i="4"/>
  <c r="D21" i="4"/>
  <c r="C21" i="4"/>
  <c r="I20" i="4"/>
  <c r="H20" i="4"/>
  <c r="G20" i="4"/>
  <c r="E20" i="4"/>
  <c r="D20" i="4"/>
  <c r="C20" i="4"/>
  <c r="I19" i="4"/>
  <c r="H19" i="4"/>
  <c r="G19" i="4"/>
  <c r="E19" i="4"/>
  <c r="D19" i="4"/>
  <c r="C19" i="4"/>
  <c r="I18" i="4"/>
  <c r="H18" i="4"/>
  <c r="G18" i="4"/>
  <c r="E18" i="4"/>
  <c r="D18" i="4"/>
  <c r="C18" i="4"/>
  <c r="E17" i="4"/>
  <c r="D17" i="4"/>
  <c r="C17" i="4"/>
  <c r="E16" i="4"/>
  <c r="D16" i="4"/>
  <c r="C16" i="4"/>
  <c r="E15" i="4"/>
  <c r="D15" i="4"/>
  <c r="C15" i="4"/>
  <c r="I14" i="4"/>
  <c r="H14" i="4"/>
  <c r="G14" i="4"/>
  <c r="E14" i="4"/>
  <c r="D14" i="4"/>
  <c r="C14" i="4"/>
  <c r="I13" i="4"/>
  <c r="H13" i="4"/>
  <c r="G13" i="4"/>
  <c r="E13" i="4"/>
  <c r="D13" i="4"/>
  <c r="C13" i="4"/>
  <c r="I12" i="4"/>
  <c r="H12" i="4"/>
  <c r="G12" i="4"/>
  <c r="E12" i="4"/>
  <c r="D12" i="4"/>
  <c r="C12" i="4"/>
  <c r="I11" i="4"/>
  <c r="H11" i="4"/>
  <c r="G11" i="4"/>
  <c r="E11" i="4"/>
  <c r="D11" i="4"/>
  <c r="C11" i="4"/>
  <c r="I10" i="4"/>
  <c r="H10" i="4"/>
  <c r="G10" i="4"/>
  <c r="E10" i="4"/>
  <c r="D10" i="4"/>
  <c r="C10" i="4"/>
  <c r="I9" i="4"/>
  <c r="H9" i="4"/>
  <c r="G9" i="4"/>
  <c r="E9" i="4"/>
  <c r="D9" i="4"/>
  <c r="C9" i="4"/>
  <c r="I8" i="4"/>
  <c r="H8" i="4"/>
  <c r="G8" i="4"/>
  <c r="E8" i="4"/>
  <c r="D8" i="4"/>
  <c r="C8" i="4"/>
  <c r="I7" i="4"/>
  <c r="H7" i="4"/>
  <c r="G7" i="4"/>
  <c r="E7" i="4"/>
  <c r="D7" i="4"/>
  <c r="C7" i="4"/>
  <c r="I6" i="4"/>
  <c r="H6" i="4"/>
  <c r="G6" i="4"/>
  <c r="E6" i="4"/>
  <c r="D6" i="4"/>
  <c r="C6" i="4"/>
  <c r="I5" i="4"/>
  <c r="H5" i="4"/>
  <c r="G5" i="4"/>
  <c r="E5" i="4"/>
  <c r="D5" i="4"/>
  <c r="C5" i="4"/>
  <c r="I4" i="4"/>
  <c r="H4" i="4"/>
  <c r="G4" i="4"/>
  <c r="E4" i="4"/>
  <c r="D4" i="4"/>
  <c r="C4" i="4"/>
  <c r="C44" i="3"/>
  <c r="C46" i="3" s="1"/>
  <c r="E29" i="3"/>
  <c r="K16" i="3"/>
  <c r="E15" i="3"/>
  <c r="J13" i="3"/>
  <c r="I13" i="3"/>
  <c r="K12" i="3"/>
  <c r="J12" i="3"/>
  <c r="I12" i="3"/>
  <c r="K11" i="3"/>
  <c r="J11" i="3"/>
  <c r="I11" i="3"/>
  <c r="I4" i="3"/>
  <c r="I15" i="3" s="1"/>
  <c r="I3" i="3"/>
  <c r="J15" i="3" s="1"/>
  <c r="C44" i="2"/>
  <c r="C46" i="2" s="1"/>
  <c r="C35" i="2"/>
  <c r="E29" i="2"/>
  <c r="K16" i="2"/>
  <c r="K15" i="2"/>
  <c r="E15" i="2"/>
  <c r="J13" i="2"/>
  <c r="I13" i="2"/>
  <c r="K12" i="2"/>
  <c r="J12" i="2"/>
  <c r="I12" i="2"/>
  <c r="K11" i="2"/>
  <c r="J11" i="2"/>
  <c r="I11" i="2"/>
  <c r="I4" i="2"/>
  <c r="I3" i="2"/>
  <c r="C44" i="1"/>
  <c r="C47" i="1" s="1"/>
  <c r="C35" i="1"/>
  <c r="E29" i="1"/>
  <c r="K17" i="1"/>
  <c r="E15" i="1"/>
  <c r="J13" i="1"/>
  <c r="I13" i="1"/>
  <c r="K12" i="1"/>
  <c r="J12" i="1"/>
  <c r="I12" i="1"/>
  <c r="K11" i="1"/>
  <c r="J11" i="1"/>
  <c r="I11" i="1"/>
  <c r="I4" i="1"/>
  <c r="I16" i="1" s="1"/>
  <c r="K16" i="1" s="1"/>
  <c r="I3" i="1"/>
  <c r="K13" i="2" l="1"/>
  <c r="C44" i="4"/>
  <c r="C47" i="4" s="1"/>
  <c r="D44" i="4"/>
  <c r="H41" i="4" s="1"/>
  <c r="B21" i="6" s="1"/>
  <c r="K13" i="1"/>
  <c r="K14" i="3"/>
  <c r="C35" i="4"/>
  <c r="E5" i="5"/>
  <c r="E6" i="5" s="1"/>
  <c r="E44" i="4"/>
  <c r="E47" i="4" s="1"/>
  <c r="I45" i="4"/>
  <c r="E32" i="1"/>
  <c r="L3" i="1" s="1"/>
  <c r="E32" i="2"/>
  <c r="L3" i="2" s="1"/>
  <c r="H29" i="4"/>
  <c r="H51" i="4" s="1"/>
  <c r="E32" i="3"/>
  <c r="L3" i="3" s="1"/>
  <c r="K14" i="2"/>
  <c r="I29" i="4"/>
  <c r="I51" i="4" s="1"/>
  <c r="I5" i="3"/>
  <c r="H44" i="4"/>
  <c r="K13" i="3"/>
  <c r="I47" i="4"/>
  <c r="D8" i="5"/>
  <c r="H45" i="4"/>
  <c r="C50" i="3"/>
  <c r="C51" i="3"/>
  <c r="K15" i="3"/>
  <c r="C46" i="1"/>
  <c r="H47" i="4"/>
  <c r="C47" i="2"/>
  <c r="C51" i="2" s="1"/>
  <c r="D35" i="4"/>
  <c r="H37" i="4" s="1"/>
  <c r="I44" i="4"/>
  <c r="H15" i="4"/>
  <c r="H50" i="4" s="1"/>
  <c r="I15" i="4"/>
  <c r="I50" i="4" s="1"/>
  <c r="G44" i="4"/>
  <c r="G48" i="4"/>
  <c r="G45" i="4"/>
  <c r="H48" i="4"/>
  <c r="I5" i="1"/>
  <c r="I5" i="2"/>
  <c r="G47" i="4"/>
  <c r="E35" i="4"/>
  <c r="K14" i="1"/>
  <c r="I48" i="4"/>
  <c r="G50" i="4" l="1"/>
  <c r="G37" i="4"/>
  <c r="D47" i="4"/>
  <c r="G63" i="4"/>
  <c r="C46" i="4"/>
  <c r="D46" i="4"/>
  <c r="G41" i="4"/>
  <c r="B22" i="6" s="1"/>
  <c r="H63" i="4"/>
  <c r="G51" i="4"/>
  <c r="I55" i="4"/>
  <c r="I57" i="4"/>
  <c r="I41" i="4"/>
  <c r="B20" i="6" s="1"/>
  <c r="E46" i="4"/>
  <c r="E50" i="4" s="1"/>
  <c r="I63" i="4"/>
  <c r="H55" i="4"/>
  <c r="I59" i="4"/>
  <c r="H59" i="4"/>
  <c r="C50" i="2"/>
  <c r="C61" i="2" s="1"/>
  <c r="H57" i="4"/>
  <c r="C61" i="3"/>
  <c r="C64" i="3" s="1"/>
  <c r="C67" i="3" s="1"/>
  <c r="C69" i="3" s="1"/>
  <c r="G57" i="4"/>
  <c r="C14" i="6" s="1"/>
  <c r="E14" i="6" s="1"/>
  <c r="I32" i="4"/>
  <c r="G55" i="4"/>
  <c r="C9" i="6" s="1"/>
  <c r="E9" i="6" s="1"/>
  <c r="C51" i="1"/>
  <c r="C50" i="1"/>
  <c r="H32" i="4"/>
  <c r="D50" i="4" l="1"/>
  <c r="G59" i="4"/>
  <c r="C11" i="6" s="1"/>
  <c r="E11" i="6" s="1"/>
  <c r="D51" i="4"/>
  <c r="C50" i="4"/>
  <c r="C51" i="4"/>
  <c r="C62" i="2"/>
  <c r="C64" i="2" s="1"/>
  <c r="E51" i="4"/>
  <c r="E61" i="4" s="1"/>
  <c r="C62" i="1"/>
  <c r="C61" i="1"/>
  <c r="D61" i="4" l="1"/>
  <c r="D62" i="4"/>
  <c r="C62" i="4"/>
  <c r="C61" i="4"/>
  <c r="C65" i="2"/>
  <c r="C67" i="2" s="1"/>
  <c r="E62" i="4"/>
  <c r="E64" i="4" s="1"/>
  <c r="C65" i="1"/>
  <c r="C64" i="1"/>
  <c r="D64" i="4" l="1"/>
  <c r="D65" i="4"/>
  <c r="C64" i="4"/>
  <c r="C65" i="4"/>
  <c r="C68" i="2"/>
  <c r="C69" i="2" s="1"/>
  <c r="E65" i="4"/>
  <c r="C68" i="1"/>
  <c r="C67" i="1"/>
  <c r="D68" i="4" l="1"/>
  <c r="D67" i="4"/>
  <c r="C67" i="4"/>
  <c r="C69" i="4" s="1"/>
  <c r="C71" i="4" s="1"/>
  <c r="C68" i="4"/>
  <c r="I61" i="4"/>
  <c r="C20" i="6" s="1"/>
  <c r="C69" i="1"/>
  <c r="D69" i="4" l="1"/>
  <c r="H61" i="4"/>
  <c r="C21" i="6" s="1"/>
  <c r="H42" i="4"/>
  <c r="I42" i="4"/>
  <c r="G61" i="4"/>
  <c r="G42" i="4"/>
  <c r="D4" i="5" s="1"/>
  <c r="D7" i="5" s="1"/>
  <c r="E71" i="4" l="1"/>
  <c r="F4" i="5" s="1"/>
  <c r="F10" i="5" s="1"/>
  <c r="F13" i="5" s="1"/>
  <c r="D71" i="4"/>
  <c r="E4" i="5" s="1"/>
  <c r="C13" i="6"/>
  <c r="E13" i="6" s="1"/>
  <c r="C22" i="6"/>
  <c r="D9" i="5"/>
  <c r="D10" i="5" s="1"/>
  <c r="D13" i="5" s="1"/>
  <c r="K2" i="6" s="1"/>
  <c r="K4" i="6"/>
  <c r="I16" i="6"/>
  <c r="I14" i="6"/>
  <c r="B7" i="6"/>
  <c r="K3" i="6" s="1"/>
  <c r="E7" i="5" l="1"/>
  <c r="E10" i="5"/>
  <c r="E13" i="5" s="1"/>
  <c r="C15" i="6"/>
  <c r="E15" i="6" s="1"/>
  <c r="I9" i="6" s="1"/>
  <c r="I10" i="6" s="1"/>
  <c r="K5" i="6"/>
  <c r="I12" i="6" l="1"/>
  <c r="I11" i="6"/>
</calcChain>
</file>

<file path=xl/sharedStrings.xml><?xml version="1.0" encoding="utf-8"?>
<sst xmlns="http://schemas.openxmlformats.org/spreadsheetml/2006/main" count="516" uniqueCount="198">
  <si>
    <t xml:space="preserve">Activo </t>
  </si>
  <si>
    <t>Pasivo</t>
  </si>
  <si>
    <t>VENTAS</t>
  </si>
  <si>
    <t>CUADRE</t>
  </si>
  <si>
    <t>Efectivo y equivalentes de efectivo</t>
  </si>
  <si>
    <t>Sobregiros bancarios</t>
  </si>
  <si>
    <t>UTILIDAD</t>
  </si>
  <si>
    <t>Inversiones financieras</t>
  </si>
  <si>
    <t>Trib. y aport. sist. pens. y salud por pagar</t>
  </si>
  <si>
    <t>USS</t>
  </si>
  <si>
    <t>Ctas. por cobrar comerciales - ter.</t>
  </si>
  <si>
    <t>Remuneraciones y particip. por pagar</t>
  </si>
  <si>
    <t>Ctas. por cobrar comerciales - relac.</t>
  </si>
  <si>
    <t>Ctas. por pagar comerciales - terceros</t>
  </si>
  <si>
    <t>Activo</t>
  </si>
  <si>
    <t>Cuentas por cobrar al personal, acc(socios) y directores</t>
  </si>
  <si>
    <t>Ctas. por pagar comerciales - relac.</t>
  </si>
  <si>
    <t>Ctas. por cobrar diversas - terceros</t>
  </si>
  <si>
    <t>Ctas por pagar accionist(soc, partic) y direct</t>
  </si>
  <si>
    <t>Patrimonio</t>
  </si>
  <si>
    <t>Ctas. por cobrar diversas - relacionados</t>
  </si>
  <si>
    <t>Ctas. por pagar diversas - terceros</t>
  </si>
  <si>
    <t>Serv. y otros contratados por anticipado</t>
  </si>
  <si>
    <t>Ctas. por pagar diversas - relacionadas</t>
  </si>
  <si>
    <t>Liquidez corriente</t>
  </si>
  <si>
    <t>Estimacio de ctas. de cobranza dudosa</t>
  </si>
  <si>
    <t>Obligaciones financieras</t>
  </si>
  <si>
    <t>Prueba Acida</t>
  </si>
  <si>
    <t>Mercaderías</t>
  </si>
  <si>
    <t>Provisiones</t>
  </si>
  <si>
    <t xml:space="preserve">Endeudamiento </t>
  </si>
  <si>
    <t>Productos terminados</t>
  </si>
  <si>
    <t>Pago diferido</t>
  </si>
  <si>
    <t>Margen</t>
  </si>
  <si>
    <t>Subproductos, deshechos y desperdicios</t>
  </si>
  <si>
    <t>TOTAL PASIVO</t>
  </si>
  <si>
    <t>Productos en proceso</t>
  </si>
  <si>
    <t>Rentabilidad</t>
  </si>
  <si>
    <t>Materias primas</t>
  </si>
  <si>
    <t>Gestion</t>
  </si>
  <si>
    <t>Materias aux, suministros y repuestos</t>
  </si>
  <si>
    <t>Capital</t>
  </si>
  <si>
    <t>Envases y embalajes</t>
  </si>
  <si>
    <t>Acciones de inversión</t>
  </si>
  <si>
    <t>Inventarios por recibir</t>
  </si>
  <si>
    <t>Capital adicional positivo</t>
  </si>
  <si>
    <t>Desvalorización de inventarios</t>
  </si>
  <si>
    <t>Capital adicional negativos</t>
  </si>
  <si>
    <t>Activos no ctes. mantenidos por la vta</t>
  </si>
  <si>
    <t>Resultados no realizados</t>
  </si>
  <si>
    <t xml:space="preserve">Otros activos corrientes </t>
  </si>
  <si>
    <t>Excedentes de evaluacion</t>
  </si>
  <si>
    <t xml:space="preserve">Inversiones mobiliarias </t>
  </si>
  <si>
    <t>Reservas</t>
  </si>
  <si>
    <t>Propiedades de inversión (1)</t>
  </si>
  <si>
    <t>Resultados acumulados positivos</t>
  </si>
  <si>
    <t>Activos por derecho de uso (2)</t>
  </si>
  <si>
    <t>Resultados acumulados negativos</t>
  </si>
  <si>
    <t>Propiedades, planta y equipo</t>
  </si>
  <si>
    <t>Utilidad del ejercicio</t>
  </si>
  <si>
    <t>Depreciación de 1,2 y PPE acumulados</t>
  </si>
  <si>
    <t>Pérdida del ejercicio</t>
  </si>
  <si>
    <t>Intangibles</t>
  </si>
  <si>
    <t>TOTAL PATRIMONIO</t>
  </si>
  <si>
    <t>Activos biologicos</t>
  </si>
  <si>
    <t>Deprec act biologico y amortiz acumulada</t>
  </si>
  <si>
    <t>Desvalorizacióo de activo inmovilizado</t>
  </si>
  <si>
    <t>TOTAL PASIVO Y PATRIMONIO</t>
  </si>
  <si>
    <t>Activo diferido</t>
  </si>
  <si>
    <t>Otros activos no corrientes</t>
  </si>
  <si>
    <t>TOTAL ACTIVO</t>
  </si>
  <si>
    <t xml:space="preserve">ESTADO DE RESULTADO </t>
  </si>
  <si>
    <t>Ventas netas o ing por servicios</t>
  </si>
  <si>
    <t>Desc , rebajas y bonif concedidas</t>
  </si>
  <si>
    <t>Ventas netas</t>
  </si>
  <si>
    <t>Costo de ventas</t>
  </si>
  <si>
    <t>Resultado bruto Utilidad</t>
  </si>
  <si>
    <t>Resultado bruto Pérdida</t>
  </si>
  <si>
    <t>Gastos de ventas</t>
  </si>
  <si>
    <t>Gastos de administración</t>
  </si>
  <si>
    <t>Resultado de operación utilidad</t>
  </si>
  <si>
    <t>Resultado de operación pérdida</t>
  </si>
  <si>
    <t>Gastos financieros</t>
  </si>
  <si>
    <t>Ingresos financieros gravados</t>
  </si>
  <si>
    <t>Otros ingresos gravados</t>
  </si>
  <si>
    <t>Otros ingresos no gravados</t>
  </si>
  <si>
    <t>Enajen. de val. y bienes del Act. F.</t>
  </si>
  <si>
    <t>Costo enajen, de val. y bienes A.F</t>
  </si>
  <si>
    <t>Gastos diversos</t>
  </si>
  <si>
    <t>REI del ejercicio positivo</t>
  </si>
  <si>
    <t>REI del ejercicio negativo</t>
  </si>
  <si>
    <t>Resultado antes de part - Utilidad</t>
  </si>
  <si>
    <t>Resultado antes de part - Pérdida</t>
  </si>
  <si>
    <t>Distribución legal de la renta</t>
  </si>
  <si>
    <t>Resultado antes del imp - Utilidad</t>
  </si>
  <si>
    <t>Resultados antes del imp - Pérdida</t>
  </si>
  <si>
    <t>Impuesto a la renta</t>
  </si>
  <si>
    <t>Resultado del ejercicio - Utilidad</t>
  </si>
  <si>
    <t>Resultado del ejercicio - Pérdida</t>
  </si>
  <si>
    <t>UTILIDAD DEL PERIODO</t>
  </si>
  <si>
    <t xml:space="preserve">Margen </t>
  </si>
  <si>
    <t>FECHA DE INICIO DE ACTIVIDAD</t>
  </si>
  <si>
    <t>Prueba acida</t>
  </si>
  <si>
    <t>Endeudamiento</t>
  </si>
  <si>
    <t>Ratios</t>
  </si>
  <si>
    <t>AÑO</t>
  </si>
  <si>
    <t>UTILIDAD NETA</t>
  </si>
  <si>
    <t>DEPRECIACION ANUAL</t>
  </si>
  <si>
    <t>Monto de depreciación</t>
  </si>
  <si>
    <t>1+2</t>
  </si>
  <si>
    <t>CAJA ANUAL</t>
  </si>
  <si>
    <t>Pago deuda 12 meses</t>
  </si>
  <si>
    <t>Capacidad de pago anual</t>
  </si>
  <si>
    <t>MODELO A ADQUIRIR</t>
  </si>
  <si>
    <t>INGRESO MENSUAL NUEVO PRODUCTO</t>
  </si>
  <si>
    <t>MENSUAL</t>
  </si>
  <si>
    <t>CALIFICACIÓN CREDITICIA</t>
  </si>
  <si>
    <t>Cuota incial Banco</t>
  </si>
  <si>
    <t>Cliente</t>
  </si>
  <si>
    <t>Capacidad pago mensual</t>
  </si>
  <si>
    <t>RUC</t>
  </si>
  <si>
    <t>Año base</t>
  </si>
  <si>
    <t>Cuota mensual estimada (PEN)</t>
  </si>
  <si>
    <t>Fecha inicio actividad</t>
  </si>
  <si>
    <t>Score Infocorp</t>
  </si>
  <si>
    <t>Cuota mensual estimada (USD)</t>
  </si>
  <si>
    <t>Historial de pago</t>
  </si>
  <si>
    <t>% cuota financiada</t>
  </si>
  <si>
    <t>% Uso de capacidad</t>
  </si>
  <si>
    <t>Monto a financiar (USD)</t>
  </si>
  <si>
    <t>Tipo de cambio del día</t>
  </si>
  <si>
    <t>Tipo de producto</t>
  </si>
  <si>
    <t>Cantidad de letras</t>
  </si>
  <si>
    <t>Monto a financiar (PEN)</t>
  </si>
  <si>
    <t>Tipo de financiamiento</t>
  </si>
  <si>
    <t>Para leasing: el % financiado no puede superar el 50% de la cuota inicial del banco.</t>
  </si>
  <si>
    <t>Use desplegables en Año base, Tipo de producto, Tipo de financiamiento e Historial de pago.</t>
  </si>
  <si>
    <t>Variable</t>
  </si>
  <si>
    <t>Valor</t>
  </si>
  <si>
    <t>Puntaje</t>
  </si>
  <si>
    <t>Peso</t>
  </si>
  <si>
    <t>Puntaje ponderado</t>
  </si>
  <si>
    <t>Referencia</t>
  </si>
  <si>
    <t>Resultado</t>
  </si>
  <si>
    <t>Plantilla ratios</t>
  </si>
  <si>
    <t>Score final (0-5)</t>
  </si>
  <si>
    <t>MONTO TOTAL DE LA OP</t>
  </si>
  <si>
    <t>Dato manual</t>
  </si>
  <si>
    <t>Calificación</t>
  </si>
  <si>
    <t>CAMION</t>
  </si>
  <si>
    <t>Observación</t>
  </si>
  <si>
    <t>NCR</t>
  </si>
  <si>
    <t>Semáforo</t>
  </si>
  <si>
    <t>CANTIDAD</t>
  </si>
  <si>
    <t>Instrucción</t>
  </si>
  <si>
    <t>Complete solo celdas amarillas</t>
  </si>
  <si>
    <t>Prueba ácida</t>
  </si>
  <si>
    <t>Validación política</t>
  </si>
  <si>
    <t>Uso de capacidad de pago</t>
  </si>
  <si>
    <t>Límite permitido (%)</t>
  </si>
  <si>
    <t>Exceso (%)</t>
  </si>
  <si>
    <t>HistorialPago</t>
  </si>
  <si>
    <t>AnoBase</t>
  </si>
  <si>
    <t>Semaforo</t>
  </si>
  <si>
    <t>Notas</t>
  </si>
  <si>
    <t>TipoFinanciamiento</t>
  </si>
  <si>
    <t>TipoProducto</t>
  </si>
  <si>
    <t>ModeloCamion</t>
  </si>
  <si>
    <t>IngresoMensualUSD</t>
  </si>
  <si>
    <t>Excelente</t>
  </si>
  <si>
    <t>A</t>
  </si>
  <si>
    <t>Complete las celdas amarillas</t>
  </si>
  <si>
    <t>Financiamiento puro</t>
  </si>
  <si>
    <t>Trucks</t>
  </si>
  <si>
    <t>FMX 8x4 R</t>
  </si>
  <si>
    <t>Bueno</t>
  </si>
  <si>
    <t>B</t>
  </si>
  <si>
    <t>La calificación toma ratios y montos de forma dinámica</t>
  </si>
  <si>
    <t>Financiamiento con leasing</t>
  </si>
  <si>
    <t>VCE</t>
  </si>
  <si>
    <t>FMX 6x4 R</t>
  </si>
  <si>
    <t>Regular</t>
  </si>
  <si>
    <t>C</t>
  </si>
  <si>
    <t>Use TC del día para convertir USD a PEN</t>
  </si>
  <si>
    <t>Buses</t>
  </si>
  <si>
    <t>Tracto</t>
  </si>
  <si>
    <t>Malo</t>
  </si>
  <si>
    <t>VM</t>
  </si>
  <si>
    <t>Sin score</t>
  </si>
  <si>
    <t>PROYECCIÓN</t>
  </si>
  <si>
    <t>Ventas</t>
  </si>
  <si>
    <t>Meses</t>
  </si>
  <si>
    <t>Anual</t>
  </si>
  <si>
    <t>Utilidad</t>
  </si>
  <si>
    <t>Año</t>
  </si>
  <si>
    <t>Venta</t>
  </si>
  <si>
    <t># meses</t>
  </si>
  <si>
    <t>2026 (Proy)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</si>
</sst>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S/&quot;\ #,##0.00"/>
    <numFmt numFmtId="165" formatCode="[$$-409]#,##0.00"/>
    <numFmt numFmtId="166" formatCode="0.0%"/>
    <numFmt numFmtId="167" formatCode="[$$-409]#,##0.0"/>
    <numFmt numFmtId="168" formatCode="_-[$$-409]* #,##0.00_ ;_-[$$-409]* \-#,##0.00\ ;_-[$$-409]* &quot;-&quot;??_ ;_-@_ "/>
    <numFmt numFmtId="169" formatCode="0.000"/>
    <numFmt numFmtId="170" formatCode="\$#,##0"/>
  </numFmts>
  <fonts count="15" x14ac:knownFonts="1">
    <font>
      <sz val="11"/>
      <color theme="1"/>
      <name val="Aptos Narrow"/>
    </font>
    <font>
      <sz val="11"/>
      <color theme="1"/>
      <name val="Calibri"/>
      <family val="2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  <font>
      <b/>
      <sz val="14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sz val="11"/>
      <color theme="0"/>
      <name val="Aptos Narrow"/>
      <family val="2"/>
    </font>
    <font>
      <b/>
      <sz val="10"/>
      <color theme="1"/>
      <name val="Aptos Narrow"/>
      <family val="2"/>
    </font>
    <font>
      <i/>
      <sz val="9"/>
      <color theme="1"/>
      <name val="Aptos Narrow"/>
      <family val="2"/>
    </font>
    <font>
      <sz val="11"/>
      <color theme="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u/>
      <sz val="11"/>
      <color theme="1"/>
      <name val="Aptos Narrow"/>
      <family val="2"/>
    </font>
  </fonts>
  <fills count="2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4B4B"/>
      </patternFill>
    </fill>
    <fill>
      <patternFill patternType="solid">
        <fgColor theme="2"/>
      </patternFill>
    </fill>
    <fill>
      <patternFill patternType="solid">
        <fgColor rgb="FFFFFFCC"/>
      </patternFill>
    </fill>
    <fill>
      <patternFill patternType="solid">
        <fgColor theme="4" tint="0.84990997039704586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00"/>
      </patternFill>
    </fill>
    <fill>
      <patternFill patternType="solid">
        <fgColor rgb="FF003366"/>
      </patternFill>
    </fill>
    <fill>
      <patternFill patternType="solid">
        <fgColor theme="2" tint="-0.249977111117893"/>
        <bgColor indexed="65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E5E7EB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18"/>
    <xf numFmtId="9" fontId="10" fillId="0" borderId="18"/>
    <xf numFmtId="0" fontId="1" fillId="0" borderId="18"/>
  </cellStyleXfs>
  <cellXfs count="140">
    <xf numFmtId="0" fontId="0" fillId="0" borderId="0" xfId="0" applyBorder="1"/>
    <xf numFmtId="0" fontId="0" fillId="0" borderId="3" xfId="0" applyBorder="1"/>
    <xf numFmtId="164" fontId="0" fillId="0" borderId="4" xfId="0" applyNumberFormat="1" applyBorder="1"/>
    <xf numFmtId="0" fontId="0" fillId="0" borderId="6" xfId="0" applyBorder="1"/>
    <xf numFmtId="0" fontId="0" fillId="0" borderId="10" xfId="0" applyBorder="1"/>
    <xf numFmtId="0" fontId="0" fillId="0" borderId="1" xfId="0" applyBorder="1"/>
    <xf numFmtId="0" fontId="0" fillId="0" borderId="5" xfId="0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3" fontId="0" fillId="0" borderId="4" xfId="0" applyNumberFormat="1" applyBorder="1"/>
    <xf numFmtId="43" fontId="0" fillId="0" borderId="13" xfId="0" applyNumberFormat="1" applyBorder="1"/>
    <xf numFmtId="43" fontId="0" fillId="0" borderId="12" xfId="0" applyNumberFormat="1" applyBorder="1"/>
    <xf numFmtId="0" fontId="3" fillId="0" borderId="16" xfId="0" applyFont="1" applyBorder="1"/>
    <xf numFmtId="0" fontId="3" fillId="0" borderId="8" xfId="0" applyFont="1" applyBorder="1"/>
    <xf numFmtId="43" fontId="0" fillId="3" borderId="13" xfId="0" applyNumberFormat="1" applyFill="1" applyBorder="1"/>
    <xf numFmtId="43" fontId="0" fillId="5" borderId="4" xfId="0" applyNumberFormat="1" applyFill="1" applyBorder="1"/>
    <xf numFmtId="43" fontId="0" fillId="4" borderId="4" xfId="0" applyNumberFormat="1" applyFill="1" applyBorder="1"/>
    <xf numFmtId="0" fontId="3" fillId="0" borderId="17" xfId="0" applyFont="1" applyBorder="1" applyAlignment="1">
      <alignment horizontal="center"/>
    </xf>
    <xf numFmtId="43" fontId="0" fillId="0" borderId="24" xfId="0" applyNumberFormat="1" applyBorder="1"/>
    <xf numFmtId="43" fontId="0" fillId="0" borderId="2" xfId="0" applyNumberFormat="1" applyBorder="1"/>
    <xf numFmtId="0" fontId="3" fillId="0" borderId="28" xfId="0" applyFont="1" applyBorder="1" applyAlignment="1">
      <alignment vertical="center"/>
    </xf>
    <xf numFmtId="0" fontId="0" fillId="0" borderId="29" xfId="0" applyBorder="1" applyAlignment="1">
      <alignment vertical="center" wrapText="1"/>
    </xf>
    <xf numFmtId="0" fontId="3" fillId="0" borderId="30" xfId="0" applyFont="1" applyBorder="1" applyAlignment="1">
      <alignment vertical="center"/>
    </xf>
    <xf numFmtId="166" fontId="0" fillId="0" borderId="31" xfId="0" applyNumberFormat="1" applyBorder="1" applyAlignment="1">
      <alignment vertical="center" wrapText="1"/>
    </xf>
    <xf numFmtId="0" fontId="3" fillId="0" borderId="32" xfId="0" applyFont="1" applyBorder="1" applyAlignment="1">
      <alignment vertical="center"/>
    </xf>
    <xf numFmtId="166" fontId="0" fillId="0" borderId="33" xfId="0" applyNumberFormat="1" applyBorder="1" applyAlignment="1">
      <alignment vertical="center" wrapText="1"/>
    </xf>
    <xf numFmtId="0" fontId="3" fillId="0" borderId="34" xfId="0" applyFont="1" applyBorder="1" applyAlignment="1">
      <alignment vertical="center"/>
    </xf>
    <xf numFmtId="0" fontId="0" fillId="0" borderId="18" xfId="0"/>
    <xf numFmtId="43" fontId="1" fillId="0" borderId="4" xfId="2" applyNumberFormat="1" applyBorder="1"/>
    <xf numFmtId="164" fontId="0" fillId="7" borderId="4" xfId="0" applyNumberFormat="1" applyFill="1" applyBorder="1"/>
    <xf numFmtId="43" fontId="1" fillId="7" borderId="4" xfId="2" applyNumberFormat="1" applyFill="1" applyBorder="1"/>
    <xf numFmtId="43" fontId="1" fillId="0" borderId="12" xfId="2" applyNumberFormat="1" applyBorder="1"/>
    <xf numFmtId="164" fontId="0" fillId="0" borderId="18" xfId="0" applyNumberFormat="1"/>
    <xf numFmtId="164" fontId="0" fillId="0" borderId="38" xfId="0" applyNumberFormat="1" applyBorder="1"/>
    <xf numFmtId="0" fontId="0" fillId="0" borderId="38" xfId="0" applyBorder="1"/>
    <xf numFmtId="0" fontId="0" fillId="0" borderId="37" xfId="0" applyBorder="1"/>
    <xf numFmtId="164" fontId="0" fillId="0" borderId="37" xfId="0" applyNumberFormat="1" applyBorder="1"/>
    <xf numFmtId="0" fontId="0" fillId="11" borderId="18" xfId="0" applyFill="1" applyAlignment="1">
      <alignment horizontal="center"/>
    </xf>
    <xf numFmtId="0" fontId="0" fillId="12" borderId="18" xfId="0" applyFill="1" applyAlignment="1">
      <alignment horizontal="center"/>
    </xf>
    <xf numFmtId="0" fontId="6" fillId="0" borderId="38" xfId="0" applyFont="1" applyBorder="1"/>
    <xf numFmtId="2" fontId="0" fillId="0" borderId="18" xfId="0" applyNumberFormat="1"/>
    <xf numFmtId="169" fontId="0" fillId="0" borderId="18" xfId="0" applyNumberFormat="1"/>
    <xf numFmtId="0" fontId="0" fillId="13" borderId="18" xfId="0" applyFill="1"/>
    <xf numFmtId="0" fontId="12" fillId="0" borderId="18" xfId="0" applyFont="1" applyAlignment="1">
      <alignment horizontal="left" vertical="center"/>
    </xf>
    <xf numFmtId="166" fontId="0" fillId="0" borderId="18" xfId="0" applyNumberFormat="1" applyAlignment="1">
      <alignment horizontal="center" vertical="center"/>
    </xf>
    <xf numFmtId="164" fontId="0" fillId="0" borderId="39" xfId="0" applyNumberFormat="1" applyBorder="1"/>
    <xf numFmtId="0" fontId="6" fillId="0" borderId="39" xfId="0" applyFont="1" applyBorder="1"/>
    <xf numFmtId="0" fontId="0" fillId="0" borderId="39" xfId="0" applyBorder="1"/>
    <xf numFmtId="165" fontId="0" fillId="0" borderId="39" xfId="0" applyNumberFormat="1" applyBorder="1"/>
    <xf numFmtId="0" fontId="0" fillId="12" borderId="39" xfId="0" applyFill="1" applyBorder="1"/>
    <xf numFmtId="0" fontId="0" fillId="2" borderId="39" xfId="0" applyFill="1" applyBorder="1"/>
    <xf numFmtId="0" fontId="0" fillId="11" borderId="39" xfId="0" applyFill="1" applyBorder="1"/>
    <xf numFmtId="164" fontId="0" fillId="12" borderId="39" xfId="0" applyNumberFormat="1" applyFill="1" applyBorder="1"/>
    <xf numFmtId="164" fontId="0" fillId="2" borderId="39" xfId="0" applyNumberFormat="1" applyFill="1" applyBorder="1"/>
    <xf numFmtId="2" fontId="2" fillId="0" borderId="39" xfId="0" applyNumberFormat="1" applyFont="1" applyBorder="1"/>
    <xf numFmtId="164" fontId="0" fillId="11" borderId="39" xfId="0" applyNumberFormat="1" applyFill="1" applyBorder="1"/>
    <xf numFmtId="10" fontId="2" fillId="0" borderId="39" xfId="1" applyNumberFormat="1" applyFont="1" applyBorder="1"/>
    <xf numFmtId="164" fontId="0" fillId="0" borderId="39" xfId="0" applyNumberFormat="1" applyBorder="1" applyAlignment="1">
      <alignment vertical="center"/>
    </xf>
    <xf numFmtId="9" fontId="0" fillId="0" borderId="39" xfId="1" applyFont="1" applyBorder="1"/>
    <xf numFmtId="12" fontId="0" fillId="0" borderId="39" xfId="0" applyNumberFormat="1" applyBorder="1"/>
    <xf numFmtId="10" fontId="0" fillId="0" borderId="39" xfId="1" applyNumberFormat="1" applyFont="1" applyBorder="1"/>
    <xf numFmtId="2" fontId="0" fillId="0" borderId="39" xfId="1" applyNumberFormat="1" applyFont="1" applyBorder="1"/>
    <xf numFmtId="0" fontId="3" fillId="0" borderId="39" xfId="0" applyFont="1" applyBorder="1"/>
    <xf numFmtId="0" fontId="0" fillId="0" borderId="39" xfId="0" applyBorder="1" applyAlignment="1">
      <alignment horizontal="center"/>
    </xf>
    <xf numFmtId="0" fontId="3" fillId="0" borderId="39" xfId="0" applyFont="1" applyBorder="1" applyAlignment="1">
      <alignment horizontal="center"/>
    </xf>
    <xf numFmtId="43" fontId="0" fillId="12" borderId="13" xfId="0" applyNumberFormat="1" applyFill="1" applyBorder="1"/>
    <xf numFmtId="43" fontId="0" fillId="11" borderId="13" xfId="0" applyNumberFormat="1" applyFill="1" applyBorder="1"/>
    <xf numFmtId="43" fontId="0" fillId="0" borderId="39" xfId="0" applyNumberFormat="1" applyBorder="1"/>
    <xf numFmtId="10" fontId="0" fillId="0" borderId="39" xfId="0" applyNumberFormat="1" applyBorder="1"/>
    <xf numFmtId="2" fontId="0" fillId="0" borderId="39" xfId="0" applyNumberFormat="1" applyBorder="1"/>
    <xf numFmtId="43" fontId="7" fillId="0" borderId="39" xfId="0" applyNumberFormat="1" applyFont="1" applyBorder="1"/>
    <xf numFmtId="0" fontId="0" fillId="8" borderId="39" xfId="0" applyFill="1" applyBorder="1" applyAlignment="1">
      <alignment horizontal="center"/>
    </xf>
    <xf numFmtId="0" fontId="3" fillId="15" borderId="39" xfId="0" applyFont="1" applyFill="1" applyBorder="1" applyAlignment="1">
      <alignment horizontal="left"/>
    </xf>
    <xf numFmtId="0" fontId="3" fillId="16" borderId="39" xfId="0" applyFont="1" applyFill="1" applyBorder="1" applyAlignment="1">
      <alignment horizontal="center"/>
    </xf>
    <xf numFmtId="170" fontId="3" fillId="17" borderId="39" xfId="0" applyNumberFormat="1" applyFont="1" applyFill="1" applyBorder="1" applyAlignment="1">
      <alignment horizontal="center"/>
    </xf>
    <xf numFmtId="0" fontId="5" fillId="9" borderId="27" xfId="0" applyFont="1" applyFill="1" applyBorder="1" applyAlignment="1">
      <alignment horizontal="center" vertical="center" wrapText="1"/>
    </xf>
    <xf numFmtId="166" fontId="8" fillId="16" borderId="27" xfId="0" applyNumberFormat="1" applyFont="1" applyFill="1" applyBorder="1" applyAlignment="1">
      <alignment horizontal="center" vertical="center"/>
    </xf>
    <xf numFmtId="0" fontId="6" fillId="16" borderId="18" xfId="0" applyFont="1" applyFill="1"/>
    <xf numFmtId="0" fontId="0" fillId="16" borderId="39" xfId="0" applyFill="1" applyBorder="1"/>
    <xf numFmtId="0" fontId="11" fillId="0" borderId="39" xfId="0" applyFont="1" applyBorder="1" applyAlignment="1">
      <alignment vertical="center"/>
    </xf>
    <xf numFmtId="4" fontId="0" fillId="0" borderId="39" xfId="0" applyNumberFormat="1" applyBorder="1" applyAlignment="1">
      <alignment horizontal="center"/>
    </xf>
    <xf numFmtId="0" fontId="0" fillId="16" borderId="18" xfId="0" applyFill="1"/>
    <xf numFmtId="0" fontId="3" fillId="0" borderId="39" xfId="0" applyFont="1" applyBorder="1" applyAlignment="1">
      <alignment vertical="center"/>
    </xf>
    <xf numFmtId="0" fontId="0" fillId="16" borderId="27" xfId="0" applyFill="1" applyBorder="1" applyAlignment="1">
      <alignment vertical="center"/>
    </xf>
    <xf numFmtId="14" fontId="0" fillId="16" borderId="18" xfId="0" applyNumberFormat="1" applyFill="1"/>
    <xf numFmtId="0" fontId="0" fillId="16" borderId="27" xfId="0" applyFill="1" applyBorder="1"/>
    <xf numFmtId="166" fontId="0" fillId="0" borderId="39" xfId="0" applyNumberFormat="1" applyBorder="1" applyAlignment="1">
      <alignment horizontal="center"/>
    </xf>
    <xf numFmtId="4" fontId="0" fillId="16" borderId="27" xfId="0" applyNumberFormat="1" applyFill="1" applyBorder="1"/>
    <xf numFmtId="1" fontId="8" fillId="16" borderId="27" xfId="0" applyNumberFormat="1" applyFont="1" applyFill="1" applyBorder="1" applyAlignment="1">
      <alignment horizontal="center" vertical="center"/>
    </xf>
    <xf numFmtId="0" fontId="5" fillId="14" borderId="39" xfId="0" applyFont="1" applyFill="1" applyBorder="1" applyAlignment="1">
      <alignment horizontal="center" vertical="center"/>
    </xf>
    <xf numFmtId="2" fontId="0" fillId="17" borderId="39" xfId="0" applyNumberFormat="1" applyFill="1" applyBorder="1" applyAlignment="1">
      <alignment vertical="center"/>
    </xf>
    <xf numFmtId="0" fontId="11" fillId="17" borderId="39" xfId="0" applyFont="1" applyFill="1" applyBorder="1" applyAlignment="1">
      <alignment horizontal="center" vertical="center" wrapText="1"/>
    </xf>
    <xf numFmtId="167" fontId="8" fillId="16" borderId="27" xfId="0" applyNumberFormat="1" applyFont="1" applyFill="1" applyBorder="1" applyAlignment="1">
      <alignment horizontal="center" vertical="center"/>
    </xf>
    <xf numFmtId="0" fontId="0" fillId="17" borderId="39" xfId="0" applyFill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168" fontId="8" fillId="16" borderId="27" xfId="0" applyNumberFormat="1" applyFont="1" applyFill="1" applyBorder="1" applyAlignment="1">
      <alignment horizontal="center" vertical="center"/>
    </xf>
    <xf numFmtId="169" fontId="0" fillId="0" borderId="39" xfId="0" applyNumberFormat="1" applyBorder="1"/>
    <xf numFmtId="0" fontId="5" fillId="14" borderId="39" xfId="0" applyFont="1" applyFill="1" applyBorder="1" applyAlignment="1">
      <alignment horizontal="center"/>
    </xf>
    <xf numFmtId="170" fontId="0" fillId="0" borderId="39" xfId="0" applyNumberFormat="1" applyBorder="1"/>
    <xf numFmtId="0" fontId="13" fillId="10" borderId="35" xfId="0" applyFont="1" applyFill="1" applyBorder="1" applyAlignment="1">
      <alignment horizontal="center" vertical="center" wrapText="1"/>
    </xf>
    <xf numFmtId="164" fontId="0" fillId="0" borderId="11" xfId="0" applyNumberFormat="1" applyBorder="1"/>
    <xf numFmtId="164" fontId="14" fillId="0" borderId="38" xfId="0" applyNumberFormat="1" applyFont="1" applyBorder="1"/>
    <xf numFmtId="0" fontId="3" fillId="0" borderId="30" xfId="0" applyFont="1" applyBorder="1" applyAlignment="1">
      <alignment horizontal="left" vertical="center"/>
    </xf>
    <xf numFmtId="0" fontId="7" fillId="0" borderId="39" xfId="0" applyFont="1" applyBorder="1"/>
    <xf numFmtId="0" fontId="7" fillId="0" borderId="0" xfId="0" applyFont="1" applyBorder="1"/>
    <xf numFmtId="10" fontId="7" fillId="0" borderId="0" xfId="0" applyNumberFormat="1" applyFont="1" applyBorder="1"/>
    <xf numFmtId="0" fontId="7" fillId="0" borderId="18" xfId="0" applyFont="1"/>
    <xf numFmtId="4" fontId="0" fillId="18" borderId="39" xfId="0" applyNumberFormat="1" applyFill="1" applyBorder="1" applyAlignment="1">
      <alignment horizontal="center"/>
    </xf>
    <xf numFmtId="0" fontId="0" fillId="18" borderId="0" xfId="0" applyFill="1" applyBorder="1" applyAlignment="1">
      <alignment horizontal="center"/>
    </xf>
    <xf numFmtId="0" fontId="0" fillId="19" borderId="27" xfId="0" applyFill="1" applyBorder="1" applyAlignment="1">
      <alignment vertical="center"/>
    </xf>
    <xf numFmtId="9" fontId="10" fillId="19" borderId="39" xfId="1" applyFill="1" applyBorder="1"/>
    <xf numFmtId="43" fontId="2" fillId="0" borderId="39" xfId="0" applyNumberFormat="1" applyFont="1" applyBorder="1" applyAlignment="1">
      <alignment vertical="center"/>
    </xf>
    <xf numFmtId="43" fontId="2" fillId="0" borderId="39" xfId="0" applyNumberFormat="1" applyFont="1" applyBorder="1"/>
    <xf numFmtId="0" fontId="3" fillId="0" borderId="8" xfId="0" applyFont="1" applyBorder="1" applyAlignment="1">
      <alignment horizontal="center"/>
    </xf>
    <xf numFmtId="0" fontId="0" fillId="0" borderId="19" xfId="0" applyBorder="1"/>
    <xf numFmtId="0" fontId="3" fillId="0" borderId="1" xfId="0" applyFont="1" applyBorder="1" applyAlignment="1">
      <alignment horizontal="center"/>
    </xf>
    <xf numFmtId="0" fontId="0" fillId="0" borderId="21" xfId="0" applyBorder="1"/>
    <xf numFmtId="0" fontId="0" fillId="0" borderId="6" xfId="0" applyBorder="1"/>
    <xf numFmtId="164" fontId="3" fillId="0" borderId="2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" xfId="0" applyBorder="1"/>
    <xf numFmtId="0" fontId="3" fillId="0" borderId="1" xfId="0" applyFont="1" applyBorder="1" applyAlignment="1">
      <alignment horizontal="center" vertical="center"/>
    </xf>
    <xf numFmtId="164" fontId="3" fillId="0" borderId="40" xfId="0" applyNumberFormat="1" applyFont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3" fillId="0" borderId="14" xfId="0" applyFont="1" applyBorder="1" applyAlignment="1">
      <alignment horizontal="center" vertical="center"/>
    </xf>
    <xf numFmtId="0" fontId="0" fillId="0" borderId="25" xfId="0" applyBorder="1"/>
    <xf numFmtId="43" fontId="3" fillId="0" borderId="2" xfId="0" applyNumberFormat="1" applyFont="1" applyBorder="1" applyAlignment="1">
      <alignment horizontal="center" vertical="center"/>
    </xf>
    <xf numFmtId="0" fontId="0" fillId="0" borderId="20" xfId="0" applyBorder="1"/>
    <xf numFmtId="164" fontId="3" fillId="0" borderId="15" xfId="0" applyNumberFormat="1" applyFont="1" applyBorder="1" applyAlignment="1">
      <alignment horizontal="center" vertical="center"/>
    </xf>
    <xf numFmtId="0" fontId="0" fillId="0" borderId="23" xfId="0" applyBorder="1"/>
    <xf numFmtId="0" fontId="0" fillId="0" borderId="26" xfId="0" applyBorder="1"/>
    <xf numFmtId="0" fontId="9" fillId="6" borderId="36" xfId="0" applyFont="1" applyFill="1" applyBorder="1" applyAlignment="1">
      <alignment horizontal="center" vertical="center" wrapText="1"/>
    </xf>
    <xf numFmtId="0" fontId="0" fillId="0" borderId="39" xfId="0" applyBorder="1"/>
    <xf numFmtId="0" fontId="2" fillId="8" borderId="18" xfId="0" applyFont="1" applyFill="1" applyAlignment="1">
      <alignment horizontal="center"/>
    </xf>
    <xf numFmtId="4" fontId="9" fillId="6" borderId="36" xfId="0" applyNumberFormat="1" applyFont="1" applyFill="1" applyBorder="1" applyAlignment="1">
      <alignment horizontal="center" vertical="center" wrapText="1"/>
    </xf>
    <xf numFmtId="0" fontId="4" fillId="14" borderId="18" xfId="0" applyFont="1" applyFill="1" applyAlignment="1">
      <alignment horizontal="center" vertical="center"/>
    </xf>
    <xf numFmtId="0" fontId="3" fillId="0" borderId="18" xfId="0" applyFont="1" applyAlignment="1">
      <alignment horizontal="center" wrapText="1"/>
    </xf>
    <xf numFmtId="0" fontId="0" fillId="16" borderId="18" xfId="0" applyFill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Percent" xfId="1" xr:uid="{00000000-0005-0000-0000-000002000000}"/>
  </cellStyles>
  <dxfs count="14">
    <dxf>
      <fill>
        <patternFill>
          <bgColor rgb="FFFFC7CE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sz val="12"/>
        <color rgb="FFFFFFFF"/>
        <name val="Segoe UI Emoji"/>
      </font>
      <fill>
        <patternFill>
          <bgColor rgb="FFC00000"/>
        </patternFill>
      </fill>
    </dxf>
    <dxf>
      <font>
        <b/>
        <color rgb="FF000000"/>
      </font>
      <fill>
        <patternFill>
          <bgColor rgb="FFFFD966"/>
        </patternFill>
      </fill>
    </dxf>
    <dxf>
      <font>
        <b/>
        <sz val="12"/>
        <color rgb="FF000000"/>
        <name val="Segoe UI Emoji"/>
      </font>
      <fill>
        <patternFill>
          <bgColor rgb="FFFFD966"/>
        </patternFill>
      </fill>
    </dxf>
    <dxf>
      <font>
        <b/>
        <color rgb="FFFFFFFF"/>
      </font>
      <fill>
        <patternFill>
          <bgColor rgb="FF00B050"/>
        </patternFill>
      </fill>
    </dxf>
    <dxf>
      <font>
        <b/>
        <sz val="12"/>
        <color rgb="FFFFFFFF"/>
        <name val="Segoe UI Emoji"/>
      </font>
      <fill>
        <patternFill>
          <bgColor rgb="FF00B050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SCORING_FINAL!$B$19</c:f>
              <c:strCache>
                <c:ptCount val="1"/>
                <c:pt idx="0">
                  <c:v>Venta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10E2705-ECC2-4F02-A406-B22199D8951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8F34417-E2CA-4A4B-A794-A8874BD06966}" type="VALUE">
                      <a:rPr lang="en-US"/>
                      <a:pPr/>
                      <a:t>[VALUE]</a:t>
                    </a:fld>
                    <a:endParaRPr lang="es-PE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B54-4471-AFD4-67DD32AD150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EDD6064-741C-4149-8238-704840D5C98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BD5E0F46-C3AB-41A8-B3FA-D3C88FEB355A}" type="VALUE">
                      <a:rPr lang="en-US"/>
                      <a:pPr/>
                      <a:t>[VALUE]</a:t>
                    </a:fld>
                    <a:endParaRPr lang="es-PE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B54-4471-AFD4-67DD32AD150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89C5291-9629-4503-A22E-82C0415BBAF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614DE06-DF25-419A-84A7-26420DE049F9}" type="VALUE">
                      <a:rPr lang="en-US"/>
                      <a:pPr/>
                      <a:t>[VALUE]</a:t>
                    </a:fld>
                    <a:endParaRPr lang="es-PE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8B54-4471-AFD4-67DD32AD150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23153D9-2051-4F32-AC90-65742201553C}" type="VALUE">
                      <a:rPr lang="en-US"/>
                      <a:pPr/>
                      <a:t>[VALUE]</a:t>
                    </a:fld>
                    <a:endParaRPr lang="es-PE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B54-4471-AFD4-67DD32AD1505}"/>
                </c:ext>
              </c:extLst>
            </c:dLbl>
            <c:numFmt formatCode="_-[$USD]\ * #,##0.00_-;\-[$USD]\ * #,##0.00_-;_-[$USD]\ * &quot;-&quot;??_-;_-@_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SCORING_FINAL!$A$20:$A$23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 (Proy)</c:v>
                </c:pt>
              </c:strCache>
            </c:strRef>
          </c:cat>
          <c:val>
            <c:numRef>
              <c:f>SCORING_FINAL!$B$20:$B$23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SCORING_FINAL!$C$20:$C$22</c15:f>
                <c15:dlblRangeCache>
                  <c:ptCount val="3"/>
                  <c:pt idx="0">
                    <c:v>0.00%</c:v>
                  </c:pt>
                  <c:pt idx="1">
                    <c:v>0.00%</c:v>
                  </c:pt>
                  <c:pt idx="2">
                    <c:v>0.00%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B54-4471-AFD4-67DD32AD150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7824448"/>
        <c:axId val="1287830208"/>
      </c:lineChart>
      <c:catAx>
        <c:axId val="1287824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830208"/>
        <c:crosses val="autoZero"/>
        <c:auto val="1"/>
        <c:lblAlgn val="ctr"/>
        <c:lblOffset val="100"/>
        <c:noMultiLvlLbl val="0"/>
      </c:catAx>
      <c:valAx>
        <c:axId val="128783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82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458392</xdr:colOff>
      <xdr:row>16</xdr:row>
      <xdr:rowOff>166688</xdr:rowOff>
    </xdr:from>
    <xdr:to>
      <xdr:col>5</xdr:col>
      <xdr:colOff>1690689</xdr:colOff>
      <xdr:row>34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34CF87-3A72-4490-44A2-4CB8562B0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70"/>
  <sheetViews>
    <sheetView topLeftCell="A40" zoomScale="93" zoomScaleNormal="100" workbookViewId="0">
      <selection activeCell="E18" sqref="D18:E18"/>
    </sheetView>
  </sheetViews>
  <sheetFormatPr defaultRowHeight="14.5" x14ac:dyDescent="0.35"/>
  <cols>
    <col min="2" max="2" width="51.7265625" customWidth="1"/>
    <col min="3" max="3" width="17.81640625" customWidth="1"/>
    <col min="4" max="4" width="40.81640625" customWidth="1"/>
    <col min="5" max="5" width="18.26953125" customWidth="1"/>
    <col min="8" max="8" width="16.7265625" customWidth="1"/>
    <col min="9" max="9" width="17.54296875" customWidth="1"/>
    <col min="10" max="10" width="16.81640625" customWidth="1"/>
    <col min="11" max="11" width="12.26953125" customWidth="1"/>
    <col min="12" max="12" width="13.81640625" customWidth="1"/>
  </cols>
  <sheetData>
    <row r="2" spans="2:12" ht="15.75" customHeight="1" x14ac:dyDescent="0.35"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2:12" ht="15.75" customHeight="1" x14ac:dyDescent="0.35">
      <c r="B3" s="114" t="s">
        <v>0</v>
      </c>
      <c r="C3" s="115"/>
      <c r="D3" s="114" t="s">
        <v>1</v>
      </c>
      <c r="E3" s="115"/>
      <c r="F3" s="48"/>
      <c r="G3" s="48"/>
      <c r="H3" s="48" t="s">
        <v>2</v>
      </c>
      <c r="I3" s="46">
        <f>+C42</f>
        <v>0</v>
      </c>
      <c r="J3" s="48"/>
      <c r="K3" s="48" t="s">
        <v>3</v>
      </c>
      <c r="L3" s="46">
        <f>+C35-E32</f>
        <v>0</v>
      </c>
    </row>
    <row r="4" spans="2:12" x14ac:dyDescent="0.35">
      <c r="B4" s="3" t="s">
        <v>4</v>
      </c>
      <c r="C4" s="11"/>
      <c r="D4" s="3" t="s">
        <v>5</v>
      </c>
      <c r="E4" s="10"/>
      <c r="F4" s="48"/>
      <c r="G4" s="48"/>
      <c r="H4" s="48" t="s">
        <v>6</v>
      </c>
      <c r="I4" s="46">
        <f>+E27</f>
        <v>0</v>
      </c>
      <c r="J4" s="48"/>
      <c r="K4" s="48"/>
      <c r="L4" s="48"/>
    </row>
    <row r="5" spans="2:12" x14ac:dyDescent="0.35">
      <c r="B5" s="1" t="s">
        <v>7</v>
      </c>
      <c r="C5" s="11"/>
      <c r="D5" s="1" t="s">
        <v>8</v>
      </c>
      <c r="E5" s="10"/>
      <c r="F5" s="48"/>
      <c r="G5" s="48"/>
      <c r="H5" s="48" t="s">
        <v>9</v>
      </c>
      <c r="I5" s="49">
        <f>+I4/3.8</f>
        <v>0</v>
      </c>
      <c r="J5" s="48"/>
      <c r="K5" s="48"/>
      <c r="L5" s="48"/>
    </row>
    <row r="6" spans="2:12" x14ac:dyDescent="0.35">
      <c r="B6" s="1" t="s">
        <v>10</v>
      </c>
      <c r="C6" s="11"/>
      <c r="D6" s="1" t="s">
        <v>11</v>
      </c>
      <c r="E6" s="10"/>
      <c r="F6" s="48"/>
      <c r="G6" s="48"/>
      <c r="H6" s="48"/>
      <c r="I6" s="48"/>
      <c r="J6" s="48"/>
      <c r="K6" s="48"/>
      <c r="L6" s="48"/>
    </row>
    <row r="7" spans="2:12" x14ac:dyDescent="0.35">
      <c r="B7" s="1" t="s">
        <v>12</v>
      </c>
      <c r="C7" s="11"/>
      <c r="D7" s="1" t="s">
        <v>13</v>
      </c>
      <c r="E7" s="10"/>
      <c r="F7" s="48"/>
      <c r="G7" s="48"/>
      <c r="H7" s="48" t="s">
        <v>14</v>
      </c>
      <c r="I7" s="50"/>
      <c r="J7" s="48"/>
      <c r="K7" s="48"/>
      <c r="L7" s="48"/>
    </row>
    <row r="8" spans="2:12" x14ac:dyDescent="0.35">
      <c r="B8" s="1" t="s">
        <v>15</v>
      </c>
      <c r="C8" s="11"/>
      <c r="D8" s="1" t="s">
        <v>16</v>
      </c>
      <c r="E8" s="10"/>
      <c r="F8" s="48"/>
      <c r="G8" s="48"/>
      <c r="H8" s="48" t="s">
        <v>1</v>
      </c>
      <c r="I8" s="51"/>
      <c r="J8" s="48"/>
      <c r="K8" s="48"/>
      <c r="L8" s="48"/>
    </row>
    <row r="9" spans="2:12" x14ac:dyDescent="0.35">
      <c r="B9" s="1" t="s">
        <v>17</v>
      </c>
      <c r="C9" s="11"/>
      <c r="D9" s="1" t="s">
        <v>18</v>
      </c>
      <c r="E9" s="10"/>
      <c r="F9" s="48"/>
      <c r="G9" s="48"/>
      <c r="H9" s="48" t="s">
        <v>19</v>
      </c>
      <c r="I9" s="52"/>
      <c r="J9" s="48"/>
      <c r="K9" s="48"/>
      <c r="L9" s="48"/>
    </row>
    <row r="10" spans="2:12" x14ac:dyDescent="0.35">
      <c r="B10" s="1" t="s">
        <v>20</v>
      </c>
      <c r="C10" s="11"/>
      <c r="D10" s="1" t="s">
        <v>21</v>
      </c>
      <c r="E10" s="10"/>
      <c r="F10" s="48"/>
      <c r="G10" s="48"/>
      <c r="H10" s="48"/>
      <c r="I10" s="48"/>
      <c r="J10" s="48"/>
      <c r="K10" s="48"/>
      <c r="L10" s="48"/>
    </row>
    <row r="11" spans="2:12" x14ac:dyDescent="0.35">
      <c r="B11" s="1" t="s">
        <v>22</v>
      </c>
      <c r="C11" s="11"/>
      <c r="D11" s="1" t="s">
        <v>23</v>
      </c>
      <c r="E11" s="10"/>
      <c r="F11" s="48"/>
      <c r="G11" s="48"/>
      <c r="H11" s="48" t="s">
        <v>24</v>
      </c>
      <c r="I11" s="53">
        <f>SUM(C4:C12)</f>
        <v>0</v>
      </c>
      <c r="J11" s="54">
        <f>SUM(E4:E11)</f>
        <v>0</v>
      </c>
      <c r="K11" s="55" t="e">
        <f>SUM(C4:C11)/SUM(E4:E11)</f>
        <v>#DIV/0!</v>
      </c>
      <c r="L11" s="48"/>
    </row>
    <row r="12" spans="2:12" x14ac:dyDescent="0.35">
      <c r="B12" s="1" t="s">
        <v>25</v>
      </c>
      <c r="C12" s="11"/>
      <c r="D12" s="1" t="s">
        <v>26</v>
      </c>
      <c r="E12" s="10"/>
      <c r="F12" s="48"/>
      <c r="G12" s="48"/>
      <c r="H12" s="48" t="s">
        <v>27</v>
      </c>
      <c r="I12" s="53">
        <f>SUM(C4:C12)</f>
        <v>0</v>
      </c>
      <c r="J12" s="54">
        <f>SUM(E4:E14)</f>
        <v>0</v>
      </c>
      <c r="K12" s="55" t="e">
        <f>SUM(C4:C11)/SUM(E4:E14)</f>
        <v>#DIV/0!</v>
      </c>
      <c r="L12" s="48"/>
    </row>
    <row r="13" spans="2:12" x14ac:dyDescent="0.35">
      <c r="B13" s="1" t="s">
        <v>28</v>
      </c>
      <c r="C13" s="11"/>
      <c r="D13" s="1" t="s">
        <v>29</v>
      </c>
      <c r="E13" s="10"/>
      <c r="F13" s="48"/>
      <c r="G13" s="48"/>
      <c r="H13" s="48" t="s">
        <v>30</v>
      </c>
      <c r="I13" s="54">
        <f>SUM(E4:E14)</f>
        <v>0</v>
      </c>
      <c r="J13" s="56">
        <f>SUM(E18:E28)</f>
        <v>0</v>
      </c>
      <c r="K13" s="55" t="e">
        <f>I13/J13</f>
        <v>#DIV/0!</v>
      </c>
      <c r="L13" s="48"/>
    </row>
    <row r="14" spans="2:12" ht="15.75" customHeight="1" x14ac:dyDescent="0.35">
      <c r="B14" s="1" t="s">
        <v>31</v>
      </c>
      <c r="C14" s="11"/>
      <c r="D14" s="4" t="s">
        <v>32</v>
      </c>
      <c r="E14" s="10"/>
      <c r="F14" s="48"/>
      <c r="G14" s="48"/>
      <c r="H14" s="48" t="s">
        <v>33</v>
      </c>
      <c r="I14" s="48"/>
      <c r="J14" s="48"/>
      <c r="K14" s="57" t="e">
        <f>+I4/I3</f>
        <v>#DIV/0!</v>
      </c>
      <c r="L14" s="48"/>
    </row>
    <row r="15" spans="2:12" x14ac:dyDescent="0.35">
      <c r="B15" s="1" t="s">
        <v>34</v>
      </c>
      <c r="C15" s="11"/>
      <c r="D15" s="122" t="s">
        <v>35</v>
      </c>
      <c r="E15" s="119">
        <f>SUM(E4:E14)</f>
        <v>0</v>
      </c>
      <c r="F15" s="48"/>
      <c r="G15" s="48"/>
      <c r="H15" s="48"/>
      <c r="I15" s="48"/>
      <c r="J15" s="48"/>
      <c r="K15" s="48"/>
      <c r="L15" s="48"/>
    </row>
    <row r="16" spans="2:12" x14ac:dyDescent="0.35">
      <c r="B16" s="1" t="s">
        <v>36</v>
      </c>
      <c r="C16" s="11"/>
      <c r="D16" s="117"/>
      <c r="E16" s="120"/>
      <c r="F16" s="48"/>
      <c r="G16" s="48"/>
      <c r="H16" s="48" t="s">
        <v>37</v>
      </c>
      <c r="I16" s="58">
        <f>+I4</f>
        <v>0</v>
      </c>
      <c r="J16" s="46">
        <v>0</v>
      </c>
      <c r="K16" s="59" t="e">
        <f>+I16/J16</f>
        <v>#DIV/0!</v>
      </c>
      <c r="L16" s="48"/>
    </row>
    <row r="17" spans="2:11" ht="15.75" customHeight="1" x14ac:dyDescent="0.35">
      <c r="B17" s="1" t="s">
        <v>38</v>
      </c>
      <c r="C17" s="11"/>
      <c r="D17" s="118"/>
      <c r="E17" s="121"/>
      <c r="F17" s="48"/>
      <c r="G17" s="48"/>
      <c r="H17" s="48" t="s">
        <v>39</v>
      </c>
      <c r="I17" s="46">
        <v>0</v>
      </c>
      <c r="J17" s="46">
        <v>0</v>
      </c>
      <c r="K17" s="48" t="e">
        <f>+I17/J17</f>
        <v>#DIV/0!</v>
      </c>
    </row>
    <row r="18" spans="2:11" x14ac:dyDescent="0.35">
      <c r="B18" s="1" t="s">
        <v>40</v>
      </c>
      <c r="C18" s="11"/>
      <c r="D18" s="5" t="s">
        <v>41</v>
      </c>
      <c r="E18" s="10"/>
      <c r="F18" s="48"/>
      <c r="G18" s="48"/>
      <c r="H18" s="48"/>
      <c r="I18" s="48"/>
      <c r="J18" s="48"/>
      <c r="K18" s="48"/>
    </row>
    <row r="19" spans="2:11" x14ac:dyDescent="0.35">
      <c r="B19" s="1" t="s">
        <v>42</v>
      </c>
      <c r="C19" s="11"/>
      <c r="D19" s="1" t="s">
        <v>43</v>
      </c>
      <c r="E19" s="10"/>
      <c r="F19" s="48"/>
      <c r="G19" s="48"/>
      <c r="H19" s="46"/>
      <c r="I19" s="48"/>
      <c r="J19" s="48"/>
      <c r="K19" s="48"/>
    </row>
    <row r="20" spans="2:11" x14ac:dyDescent="0.35">
      <c r="B20" s="1" t="s">
        <v>44</v>
      </c>
      <c r="C20" s="11"/>
      <c r="D20" s="1" t="s">
        <v>45</v>
      </c>
      <c r="E20" s="10"/>
      <c r="F20" s="48"/>
      <c r="G20" s="48"/>
      <c r="H20" s="48"/>
      <c r="I20" s="48"/>
      <c r="J20" s="48"/>
      <c r="K20" s="48"/>
    </row>
    <row r="21" spans="2:11" x14ac:dyDescent="0.35">
      <c r="B21" s="1" t="s">
        <v>46</v>
      </c>
      <c r="C21" s="11"/>
      <c r="D21" s="1" t="s">
        <v>47</v>
      </c>
      <c r="E21" s="10"/>
      <c r="F21" s="48"/>
      <c r="G21" s="48"/>
      <c r="H21" s="48"/>
      <c r="I21" s="48"/>
      <c r="J21" s="48"/>
      <c r="K21" s="48"/>
    </row>
    <row r="22" spans="2:11" x14ac:dyDescent="0.35">
      <c r="B22" s="1" t="s">
        <v>48</v>
      </c>
      <c r="C22" s="11"/>
      <c r="D22" s="1" t="s">
        <v>49</v>
      </c>
      <c r="E22" s="10"/>
      <c r="F22" s="48"/>
      <c r="G22" s="48"/>
      <c r="H22" s="48"/>
      <c r="I22" s="48"/>
      <c r="J22" s="48"/>
      <c r="K22" s="48"/>
    </row>
    <row r="23" spans="2:11" x14ac:dyDescent="0.35">
      <c r="B23" s="1" t="s">
        <v>50</v>
      </c>
      <c r="C23" s="11"/>
      <c r="D23" s="1" t="s">
        <v>51</v>
      </c>
      <c r="E23" s="10"/>
      <c r="F23" s="48"/>
      <c r="G23" s="48"/>
      <c r="H23" s="48"/>
      <c r="I23" s="48"/>
      <c r="J23" s="48"/>
      <c r="K23" s="48"/>
    </row>
    <row r="24" spans="2:11" x14ac:dyDescent="0.35">
      <c r="B24" s="1" t="s">
        <v>52</v>
      </c>
      <c r="C24" s="11"/>
      <c r="D24" s="1" t="s">
        <v>53</v>
      </c>
      <c r="E24" s="10"/>
      <c r="F24" s="48"/>
      <c r="G24" s="48"/>
      <c r="H24" s="48"/>
      <c r="I24" s="48"/>
      <c r="J24" s="48"/>
      <c r="K24" s="48"/>
    </row>
    <row r="25" spans="2:11" x14ac:dyDescent="0.35">
      <c r="B25" s="1" t="s">
        <v>54</v>
      </c>
      <c r="C25" s="11"/>
      <c r="D25" s="1" t="s">
        <v>55</v>
      </c>
      <c r="E25" s="10"/>
      <c r="F25" s="48"/>
      <c r="G25" s="48"/>
      <c r="H25" s="48"/>
      <c r="I25" s="48"/>
      <c r="J25" s="48"/>
      <c r="K25" s="48"/>
    </row>
    <row r="26" spans="2:11" x14ac:dyDescent="0.35">
      <c r="B26" s="1" t="s">
        <v>56</v>
      </c>
      <c r="C26" s="11"/>
      <c r="D26" s="1" t="s">
        <v>57</v>
      </c>
      <c r="E26" s="10"/>
      <c r="F26" s="48"/>
      <c r="G26" s="48"/>
      <c r="H26" s="48"/>
      <c r="I26" s="48"/>
      <c r="J26" s="48"/>
      <c r="K26" s="48"/>
    </row>
    <row r="27" spans="2:11" x14ac:dyDescent="0.35">
      <c r="B27" s="1" t="s">
        <v>58</v>
      </c>
      <c r="C27" s="11"/>
      <c r="D27" s="1" t="s">
        <v>59</v>
      </c>
      <c r="E27" s="10"/>
      <c r="F27" s="48"/>
      <c r="G27" s="48"/>
      <c r="H27" s="48"/>
      <c r="I27" s="48"/>
      <c r="J27" s="48"/>
      <c r="K27" s="48"/>
    </row>
    <row r="28" spans="2:11" ht="15.75" customHeight="1" x14ac:dyDescent="0.35">
      <c r="B28" s="1" t="s">
        <v>60</v>
      </c>
      <c r="C28" s="11"/>
      <c r="D28" s="6" t="s">
        <v>61</v>
      </c>
      <c r="E28" s="10"/>
      <c r="F28" s="48"/>
      <c r="G28" s="48"/>
      <c r="H28" s="48"/>
      <c r="I28" s="48"/>
      <c r="J28" s="48"/>
      <c r="K28" s="48"/>
    </row>
    <row r="29" spans="2:11" x14ac:dyDescent="0.35">
      <c r="B29" s="1" t="s">
        <v>62</v>
      </c>
      <c r="C29" s="11"/>
      <c r="D29" s="122" t="s">
        <v>63</v>
      </c>
      <c r="E29" s="119">
        <f>SUM(E18:E28)</f>
        <v>0</v>
      </c>
      <c r="F29" s="48"/>
      <c r="G29" s="48"/>
      <c r="H29" s="48"/>
      <c r="I29" s="48"/>
      <c r="J29" s="48"/>
      <c r="K29" s="48"/>
    </row>
    <row r="30" spans="2:11" x14ac:dyDescent="0.35">
      <c r="B30" s="1" t="s">
        <v>64</v>
      </c>
      <c r="C30" s="11"/>
      <c r="D30" s="117"/>
      <c r="E30" s="120"/>
      <c r="F30" s="48"/>
      <c r="G30" s="48"/>
      <c r="H30" s="48"/>
      <c r="I30" s="48"/>
      <c r="J30" s="48"/>
      <c r="K30" s="48"/>
    </row>
    <row r="31" spans="2:11" ht="15.75" customHeight="1" x14ac:dyDescent="0.35">
      <c r="B31" s="1" t="s">
        <v>65</v>
      </c>
      <c r="C31" s="11"/>
      <c r="D31" s="118"/>
      <c r="E31" s="121"/>
      <c r="F31" s="48"/>
      <c r="G31" s="48"/>
      <c r="H31" s="48"/>
      <c r="I31" s="48"/>
      <c r="J31" s="48"/>
      <c r="K31" s="48"/>
    </row>
    <row r="32" spans="2:11" x14ac:dyDescent="0.35">
      <c r="B32" s="1" t="s">
        <v>66</v>
      </c>
      <c r="C32" s="11"/>
      <c r="D32" s="122" t="s">
        <v>67</v>
      </c>
      <c r="E32" s="119">
        <f>+E29+E15</f>
        <v>0</v>
      </c>
      <c r="F32" s="48"/>
      <c r="G32" s="48"/>
      <c r="H32" s="48"/>
      <c r="I32" s="48"/>
      <c r="J32" s="48"/>
      <c r="K32" s="48"/>
    </row>
    <row r="33" spans="2:5" x14ac:dyDescent="0.35">
      <c r="B33" s="1" t="s">
        <v>68</v>
      </c>
      <c r="C33" s="11"/>
      <c r="D33" s="117"/>
      <c r="E33" s="120"/>
    </row>
    <row r="34" spans="2:5" ht="15.75" customHeight="1" x14ac:dyDescent="0.35">
      <c r="B34" s="4" t="s">
        <v>69</v>
      </c>
      <c r="C34" s="11"/>
      <c r="D34" s="117"/>
      <c r="E34" s="120"/>
    </row>
    <row r="35" spans="2:5" x14ac:dyDescent="0.35">
      <c r="B35" s="122" t="s">
        <v>70</v>
      </c>
      <c r="C35" s="119">
        <f>SUM(C4:C34)</f>
        <v>0</v>
      </c>
      <c r="D35" s="117"/>
      <c r="E35" s="120"/>
    </row>
    <row r="36" spans="2:5" ht="15.75" customHeight="1" x14ac:dyDescent="0.35">
      <c r="B36" s="118"/>
      <c r="C36" s="121"/>
      <c r="D36" s="118"/>
      <c r="E36" s="121"/>
    </row>
    <row r="40" spans="2:5" ht="15.75" customHeight="1" x14ac:dyDescent="0.35">
      <c r="B40" s="48"/>
      <c r="C40" s="48"/>
      <c r="D40" s="48"/>
      <c r="E40" s="48"/>
    </row>
    <row r="41" spans="2:5" ht="15.75" customHeight="1" x14ac:dyDescent="0.35">
      <c r="B41" s="114" t="s">
        <v>71</v>
      </c>
      <c r="C41" s="115"/>
      <c r="D41" s="48"/>
      <c r="E41" s="48"/>
    </row>
    <row r="42" spans="2:5" x14ac:dyDescent="0.35">
      <c r="B42" s="3" t="s">
        <v>72</v>
      </c>
      <c r="C42" s="29"/>
      <c r="D42" s="48"/>
      <c r="E42" s="48"/>
    </row>
    <row r="43" spans="2:5" x14ac:dyDescent="0.35">
      <c r="B43" s="1" t="s">
        <v>73</v>
      </c>
      <c r="C43" s="2">
        <v>0</v>
      </c>
      <c r="D43" s="48"/>
      <c r="E43" s="48"/>
    </row>
    <row r="44" spans="2:5" x14ac:dyDescent="0.35">
      <c r="B44" s="1" t="s">
        <v>74</v>
      </c>
      <c r="C44" s="30">
        <f>+SUM(C42:C43)</f>
        <v>0</v>
      </c>
      <c r="D44" s="48"/>
      <c r="E44" s="48"/>
    </row>
    <row r="45" spans="2:5" x14ac:dyDescent="0.35">
      <c r="B45" s="1" t="s">
        <v>75</v>
      </c>
      <c r="C45" s="29"/>
      <c r="D45" s="48"/>
      <c r="E45" s="48"/>
    </row>
    <row r="46" spans="2:5" x14ac:dyDescent="0.35">
      <c r="B46" s="1" t="s">
        <v>76</v>
      </c>
      <c r="C46" s="30">
        <f>+IF(SUM(C44:C45)&lt;0,0,SUM(C44:C45))</f>
        <v>0</v>
      </c>
      <c r="D46" s="48"/>
      <c r="E46" s="48"/>
    </row>
    <row r="47" spans="2:5" x14ac:dyDescent="0.35">
      <c r="B47" s="1" t="s">
        <v>77</v>
      </c>
      <c r="C47" s="30">
        <f>+IF(SUM(C44:C45)&lt;0,SUM(C44:C45),0)</f>
        <v>0</v>
      </c>
      <c r="D47" s="48"/>
      <c r="E47" s="48"/>
    </row>
    <row r="48" spans="2:5" x14ac:dyDescent="0.35">
      <c r="B48" s="1" t="s">
        <v>78</v>
      </c>
      <c r="C48" s="29"/>
      <c r="D48" s="48"/>
      <c r="E48" s="48"/>
    </row>
    <row r="49" spans="2:3" x14ac:dyDescent="0.35">
      <c r="B49" s="1" t="s">
        <v>79</v>
      </c>
      <c r="C49" s="29"/>
    </row>
    <row r="50" spans="2:3" x14ac:dyDescent="0.35">
      <c r="B50" s="1" t="s">
        <v>80</v>
      </c>
      <c r="C50" s="30">
        <f>IF(SUM(C46:C49)&lt;0,0,SUM(C46:C49))</f>
        <v>0</v>
      </c>
    </row>
    <row r="51" spans="2:3" x14ac:dyDescent="0.35">
      <c r="B51" s="1" t="s">
        <v>81</v>
      </c>
      <c r="C51" s="30">
        <f>IF(SUM(C46:C49)&lt;=0,SUM(C46:C49),0)</f>
        <v>0</v>
      </c>
    </row>
    <row r="52" spans="2:3" x14ac:dyDescent="0.35">
      <c r="B52" s="1" t="s">
        <v>82</v>
      </c>
      <c r="C52" s="29"/>
    </row>
    <row r="53" spans="2:3" x14ac:dyDescent="0.35">
      <c r="B53" s="1" t="s">
        <v>83</v>
      </c>
      <c r="C53" s="29"/>
    </row>
    <row r="54" spans="2:3" x14ac:dyDescent="0.35">
      <c r="B54" s="1" t="s">
        <v>84</v>
      </c>
      <c r="C54" s="29"/>
    </row>
    <row r="55" spans="2:3" x14ac:dyDescent="0.35">
      <c r="B55" s="1" t="s">
        <v>85</v>
      </c>
      <c r="C55" s="29">
        <v>0</v>
      </c>
    </row>
    <row r="56" spans="2:3" x14ac:dyDescent="0.35">
      <c r="B56" s="1" t="s">
        <v>86</v>
      </c>
      <c r="C56" s="29"/>
    </row>
    <row r="57" spans="2:3" x14ac:dyDescent="0.35">
      <c r="B57" s="1" t="s">
        <v>87</v>
      </c>
      <c r="C57" s="29"/>
    </row>
    <row r="58" spans="2:3" x14ac:dyDescent="0.35">
      <c r="B58" s="1" t="s">
        <v>88</v>
      </c>
      <c r="C58" s="29">
        <v>0</v>
      </c>
    </row>
    <row r="59" spans="2:3" x14ac:dyDescent="0.35">
      <c r="B59" s="1" t="s">
        <v>89</v>
      </c>
      <c r="C59" s="29">
        <v>0</v>
      </c>
    </row>
    <row r="60" spans="2:3" x14ac:dyDescent="0.35">
      <c r="B60" s="1" t="s">
        <v>90</v>
      </c>
      <c r="C60" s="29">
        <v>0</v>
      </c>
    </row>
    <row r="61" spans="2:3" x14ac:dyDescent="0.35">
      <c r="B61" s="1" t="s">
        <v>91</v>
      </c>
      <c r="C61" s="30">
        <f>+IF(SUM(C50:C60)&lt;0,0,SUM(C50:C60))</f>
        <v>0</v>
      </c>
    </row>
    <row r="62" spans="2:3" x14ac:dyDescent="0.35">
      <c r="B62" s="1" t="s">
        <v>92</v>
      </c>
      <c r="C62" s="30">
        <f>+IF(SUM(C50:C60)&lt;0,SUM(C50:C60),0)</f>
        <v>0</v>
      </c>
    </row>
    <row r="63" spans="2:3" x14ac:dyDescent="0.35">
      <c r="B63" s="1" t="s">
        <v>93</v>
      </c>
      <c r="C63" s="29">
        <v>0</v>
      </c>
    </row>
    <row r="64" spans="2:3" x14ac:dyDescent="0.35">
      <c r="B64" s="1" t="s">
        <v>94</v>
      </c>
      <c r="C64" s="30">
        <f>+IF(SUM(C61:C63)&lt;0,0,SUM(C61:C63))</f>
        <v>0</v>
      </c>
    </row>
    <row r="65" spans="2:3" x14ac:dyDescent="0.35">
      <c r="B65" s="1" t="s">
        <v>95</v>
      </c>
      <c r="C65" s="31">
        <f>+IF(SUM(C61:C63)&lt;0,SUM(C61:C63),0)</f>
        <v>0</v>
      </c>
    </row>
    <row r="66" spans="2:3" x14ac:dyDescent="0.35">
      <c r="B66" s="1" t="s">
        <v>96</v>
      </c>
      <c r="C66" s="29"/>
    </row>
    <row r="67" spans="2:3" x14ac:dyDescent="0.35">
      <c r="B67" s="1" t="s">
        <v>97</v>
      </c>
      <c r="C67" s="30">
        <f>+IF(SUM(C64:C66)&lt;0,0,SUM(C64:C66))</f>
        <v>0</v>
      </c>
    </row>
    <row r="68" spans="2:3" ht="15.75" customHeight="1" x14ac:dyDescent="0.35">
      <c r="B68" s="1" t="s">
        <v>98</v>
      </c>
      <c r="C68" s="30">
        <f>+IF(SUM(C64:C66)&lt;0,SUM(C64:C66),0)</f>
        <v>0</v>
      </c>
    </row>
    <row r="69" spans="2:3" x14ac:dyDescent="0.35">
      <c r="B69" s="122" t="s">
        <v>99</v>
      </c>
      <c r="C69" s="119">
        <f>+IF(C67=0,C68,C67)</f>
        <v>0</v>
      </c>
    </row>
    <row r="70" spans="2:3" ht="15.75" customHeight="1" x14ac:dyDescent="0.35">
      <c r="B70" s="118"/>
      <c r="C70" s="121"/>
    </row>
  </sheetData>
  <mergeCells count="13">
    <mergeCell ref="B3:C3"/>
    <mergeCell ref="D29:D31"/>
    <mergeCell ref="D3:E3"/>
    <mergeCell ref="E32:E36"/>
    <mergeCell ref="B69:B70"/>
    <mergeCell ref="E15:E17"/>
    <mergeCell ref="E29:E31"/>
    <mergeCell ref="B35:B36"/>
    <mergeCell ref="B41:C41"/>
    <mergeCell ref="D32:D36"/>
    <mergeCell ref="C35:C36"/>
    <mergeCell ref="D15:D17"/>
    <mergeCell ref="C69:C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70"/>
  <sheetViews>
    <sheetView topLeftCell="A39" workbookViewId="0">
      <selection activeCell="D2" sqref="D2"/>
    </sheetView>
  </sheetViews>
  <sheetFormatPr defaultRowHeight="14.5" x14ac:dyDescent="0.35"/>
  <cols>
    <col min="2" max="2" width="51.7265625" customWidth="1"/>
    <col min="3" max="3" width="17.81640625" customWidth="1"/>
    <col min="4" max="4" width="40.81640625" customWidth="1"/>
    <col min="5" max="5" width="18.26953125" customWidth="1"/>
    <col min="8" max="8" width="16.7265625" customWidth="1"/>
    <col min="9" max="9" width="17.54296875" customWidth="1"/>
    <col min="10" max="10" width="16.81640625" customWidth="1"/>
    <col min="12" max="12" width="11.1796875" customWidth="1"/>
  </cols>
  <sheetData>
    <row r="2" spans="2:12" ht="15.75" customHeight="1" x14ac:dyDescent="0.35"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2:12" ht="15.75" customHeight="1" x14ac:dyDescent="0.35">
      <c r="B3" s="114" t="s">
        <v>0</v>
      </c>
      <c r="C3" s="115"/>
      <c r="D3" s="114" t="s">
        <v>1</v>
      </c>
      <c r="E3" s="115"/>
      <c r="F3" s="48"/>
      <c r="G3" s="48"/>
      <c r="H3" s="48" t="s">
        <v>2</v>
      </c>
      <c r="I3" s="46">
        <f>+C42</f>
        <v>0</v>
      </c>
      <c r="J3" s="48"/>
      <c r="K3" s="48" t="s">
        <v>3</v>
      </c>
      <c r="L3" s="46">
        <f>+C35-E32</f>
        <v>0</v>
      </c>
    </row>
    <row r="4" spans="2:12" x14ac:dyDescent="0.35">
      <c r="B4" s="3" t="s">
        <v>4</v>
      </c>
      <c r="C4" s="12"/>
      <c r="D4" s="3" t="s">
        <v>5</v>
      </c>
      <c r="E4" s="12"/>
      <c r="F4" s="48"/>
      <c r="G4" s="48"/>
      <c r="H4" s="48" t="s">
        <v>6</v>
      </c>
      <c r="I4" s="46">
        <f>+E27</f>
        <v>0</v>
      </c>
      <c r="J4" s="48"/>
      <c r="K4" s="48"/>
      <c r="L4" s="48"/>
    </row>
    <row r="5" spans="2:12" x14ac:dyDescent="0.35">
      <c r="B5" s="1" t="s">
        <v>7</v>
      </c>
      <c r="C5" s="12"/>
      <c r="D5" s="1" t="s">
        <v>8</v>
      </c>
      <c r="E5" s="12"/>
      <c r="F5" s="48"/>
      <c r="G5" s="48"/>
      <c r="H5" s="48" t="s">
        <v>9</v>
      </c>
      <c r="I5" s="49">
        <f>+I4/3.8</f>
        <v>0</v>
      </c>
      <c r="J5" s="48"/>
      <c r="K5" s="48"/>
      <c r="L5" s="48"/>
    </row>
    <row r="6" spans="2:12" x14ac:dyDescent="0.35">
      <c r="B6" s="1" t="s">
        <v>10</v>
      </c>
      <c r="C6" s="12"/>
      <c r="D6" s="1" t="s">
        <v>11</v>
      </c>
      <c r="E6" s="12"/>
      <c r="F6" s="48"/>
      <c r="G6" s="48"/>
      <c r="H6" s="48"/>
      <c r="I6" s="48"/>
      <c r="J6" s="48"/>
      <c r="K6" s="48"/>
      <c r="L6" s="48"/>
    </row>
    <row r="7" spans="2:12" x14ac:dyDescent="0.35">
      <c r="B7" s="1" t="s">
        <v>12</v>
      </c>
      <c r="C7" s="12"/>
      <c r="D7" s="1" t="s">
        <v>13</v>
      </c>
      <c r="E7" s="12"/>
      <c r="F7" s="48"/>
      <c r="G7" s="48"/>
      <c r="H7" s="48" t="s">
        <v>14</v>
      </c>
      <c r="I7" s="50"/>
      <c r="J7" s="48"/>
      <c r="K7" s="48"/>
      <c r="L7" s="48"/>
    </row>
    <row r="8" spans="2:12" x14ac:dyDescent="0.35">
      <c r="B8" s="1" t="s">
        <v>15</v>
      </c>
      <c r="C8" s="12"/>
      <c r="D8" s="1" t="s">
        <v>16</v>
      </c>
      <c r="E8" s="12"/>
      <c r="F8" s="48"/>
      <c r="G8" s="48"/>
      <c r="H8" s="48" t="s">
        <v>1</v>
      </c>
      <c r="I8" s="51"/>
      <c r="J8" s="48"/>
      <c r="K8" s="48"/>
      <c r="L8" s="48"/>
    </row>
    <row r="9" spans="2:12" x14ac:dyDescent="0.35">
      <c r="B9" s="1" t="s">
        <v>17</v>
      </c>
      <c r="C9" s="12"/>
      <c r="D9" s="1" t="s">
        <v>18</v>
      </c>
      <c r="E9" s="12"/>
      <c r="F9" s="48"/>
      <c r="G9" s="48"/>
      <c r="H9" s="48" t="s">
        <v>19</v>
      </c>
      <c r="I9" s="52"/>
      <c r="J9" s="48"/>
      <c r="K9" s="48"/>
      <c r="L9" s="48"/>
    </row>
    <row r="10" spans="2:12" x14ac:dyDescent="0.35">
      <c r="B10" s="1" t="s">
        <v>20</v>
      </c>
      <c r="C10" s="12"/>
      <c r="D10" s="1" t="s">
        <v>21</v>
      </c>
      <c r="E10" s="12"/>
      <c r="F10" s="48"/>
      <c r="G10" s="48"/>
      <c r="H10" s="48"/>
      <c r="I10" s="48"/>
      <c r="J10" s="48"/>
      <c r="K10" s="48"/>
      <c r="L10" s="48"/>
    </row>
    <row r="11" spans="2:12" x14ac:dyDescent="0.35">
      <c r="B11" s="1" t="s">
        <v>22</v>
      </c>
      <c r="C11" s="12"/>
      <c r="D11" s="1" t="s">
        <v>23</v>
      </c>
      <c r="E11" s="12"/>
      <c r="F11" s="48"/>
      <c r="G11" s="48"/>
      <c r="H11" s="48" t="s">
        <v>24</v>
      </c>
      <c r="I11" s="53">
        <f>SUM(C4:C12)</f>
        <v>0</v>
      </c>
      <c r="J11" s="54">
        <f>SUM(E4:E11)</f>
        <v>0</v>
      </c>
      <c r="K11" s="55" t="e">
        <f>SUM(C4:C11)/SUM(E4:E11)</f>
        <v>#DIV/0!</v>
      </c>
      <c r="L11" s="48"/>
    </row>
    <row r="12" spans="2:12" x14ac:dyDescent="0.35">
      <c r="B12" s="1" t="s">
        <v>25</v>
      </c>
      <c r="C12" s="12"/>
      <c r="D12" s="1" t="s">
        <v>26</v>
      </c>
      <c r="E12" s="12"/>
      <c r="F12" s="48"/>
      <c r="G12" s="48"/>
      <c r="H12" s="48" t="s">
        <v>27</v>
      </c>
      <c r="I12" s="53">
        <f>SUM(C4:C12)</f>
        <v>0</v>
      </c>
      <c r="J12" s="54">
        <f>SUM(E4:E14)</f>
        <v>0</v>
      </c>
      <c r="K12" s="55" t="e">
        <f>SUM(C4:C11)/SUM(E4:E14)</f>
        <v>#DIV/0!</v>
      </c>
      <c r="L12" s="48"/>
    </row>
    <row r="13" spans="2:12" x14ac:dyDescent="0.35">
      <c r="B13" s="1" t="s">
        <v>28</v>
      </c>
      <c r="C13" s="12"/>
      <c r="D13" s="1" t="s">
        <v>29</v>
      </c>
      <c r="E13" s="12"/>
      <c r="F13" s="48"/>
      <c r="G13" s="48"/>
      <c r="H13" s="48" t="s">
        <v>30</v>
      </c>
      <c r="I13" s="54">
        <f>SUM(E4:E14)</f>
        <v>0</v>
      </c>
      <c r="J13" s="56">
        <f>SUM(E18:E28)</f>
        <v>0</v>
      </c>
      <c r="K13" s="55" t="e">
        <f>I13/J13</f>
        <v>#DIV/0!</v>
      </c>
      <c r="L13" s="48"/>
    </row>
    <row r="14" spans="2:12" ht="15.75" customHeight="1" x14ac:dyDescent="0.35">
      <c r="B14" s="1" t="s">
        <v>31</v>
      </c>
      <c r="C14" s="12"/>
      <c r="D14" s="4" t="s">
        <v>32</v>
      </c>
      <c r="E14" s="12"/>
      <c r="F14" s="48"/>
      <c r="G14" s="48"/>
      <c r="H14" s="48" t="s">
        <v>100</v>
      </c>
      <c r="I14" s="48"/>
      <c r="J14" s="48"/>
      <c r="K14" s="57" t="e">
        <f>+I4/I3</f>
        <v>#DIV/0!</v>
      </c>
      <c r="L14" s="48"/>
    </row>
    <row r="15" spans="2:12" x14ac:dyDescent="0.35">
      <c r="B15" s="1" t="s">
        <v>34</v>
      </c>
      <c r="C15" s="12"/>
      <c r="D15" s="122" t="s">
        <v>35</v>
      </c>
      <c r="E15" s="119">
        <f>SUM(E4:E14)</f>
        <v>0</v>
      </c>
      <c r="F15" s="48"/>
      <c r="G15" s="48"/>
      <c r="H15" s="48" t="s">
        <v>37</v>
      </c>
      <c r="I15" s="58">
        <v>0</v>
      </c>
      <c r="J15" s="46">
        <v>0</v>
      </c>
      <c r="K15" s="59" t="e">
        <f>+I15/J15</f>
        <v>#DIV/0!</v>
      </c>
      <c r="L15" s="48"/>
    </row>
    <row r="16" spans="2:12" x14ac:dyDescent="0.35">
      <c r="B16" s="1" t="s">
        <v>36</v>
      </c>
      <c r="C16" s="12"/>
      <c r="D16" s="117"/>
      <c r="E16" s="120"/>
      <c r="F16" s="48"/>
      <c r="G16" s="48"/>
      <c r="H16" s="48" t="s">
        <v>39</v>
      </c>
      <c r="I16" s="46">
        <v>0</v>
      </c>
      <c r="J16" s="46">
        <v>0</v>
      </c>
      <c r="K16" s="48" t="e">
        <f>+I16/J16</f>
        <v>#DIV/0!</v>
      </c>
      <c r="L16" s="48"/>
    </row>
    <row r="17" spans="2:8" ht="15.75" customHeight="1" x14ac:dyDescent="0.35">
      <c r="B17" s="1" t="s">
        <v>38</v>
      </c>
      <c r="C17" s="12"/>
      <c r="D17" s="118"/>
      <c r="E17" s="121"/>
      <c r="F17" s="48"/>
      <c r="G17" s="48"/>
      <c r="H17" s="48"/>
    </row>
    <row r="18" spans="2:8" x14ac:dyDescent="0.35">
      <c r="B18" s="1" t="s">
        <v>40</v>
      </c>
      <c r="C18" s="12"/>
      <c r="D18" s="5" t="s">
        <v>41</v>
      </c>
      <c r="E18" s="12"/>
      <c r="F18" s="48"/>
      <c r="G18" s="48"/>
      <c r="H18" s="48"/>
    </row>
    <row r="19" spans="2:8" x14ac:dyDescent="0.35">
      <c r="B19" s="1" t="s">
        <v>42</v>
      </c>
      <c r="C19" s="12"/>
      <c r="D19" s="1" t="s">
        <v>43</v>
      </c>
      <c r="E19" s="12"/>
      <c r="F19" s="48"/>
      <c r="G19" s="48"/>
      <c r="H19" s="46"/>
    </row>
    <row r="20" spans="2:8" x14ac:dyDescent="0.35">
      <c r="B20" s="1" t="s">
        <v>44</v>
      </c>
      <c r="C20" s="12"/>
      <c r="D20" s="1" t="s">
        <v>45</v>
      </c>
      <c r="E20" s="12"/>
      <c r="F20" s="48"/>
      <c r="G20" s="48"/>
      <c r="H20" s="48"/>
    </row>
    <row r="21" spans="2:8" x14ac:dyDescent="0.35">
      <c r="B21" s="1" t="s">
        <v>46</v>
      </c>
      <c r="C21" s="12"/>
      <c r="D21" s="1" t="s">
        <v>47</v>
      </c>
      <c r="E21" s="12"/>
      <c r="F21" s="48"/>
      <c r="G21" s="48"/>
      <c r="H21" s="48"/>
    </row>
    <row r="22" spans="2:8" x14ac:dyDescent="0.35">
      <c r="B22" s="1" t="s">
        <v>48</v>
      </c>
      <c r="C22" s="12"/>
      <c r="D22" s="1" t="s">
        <v>49</v>
      </c>
      <c r="E22" s="12"/>
      <c r="F22" s="48"/>
      <c r="G22" s="48"/>
      <c r="H22" s="48"/>
    </row>
    <row r="23" spans="2:8" x14ac:dyDescent="0.35">
      <c r="B23" s="1" t="s">
        <v>50</v>
      </c>
      <c r="C23" s="12"/>
      <c r="D23" s="1" t="s">
        <v>51</v>
      </c>
      <c r="E23" s="12"/>
      <c r="F23" s="48"/>
      <c r="G23" s="48"/>
      <c r="H23" s="48"/>
    </row>
    <row r="24" spans="2:8" x14ac:dyDescent="0.35">
      <c r="B24" s="1" t="s">
        <v>52</v>
      </c>
      <c r="C24" s="12"/>
      <c r="D24" s="1" t="s">
        <v>53</v>
      </c>
      <c r="E24" s="12"/>
      <c r="F24" s="48"/>
      <c r="G24" s="48"/>
      <c r="H24" s="48"/>
    </row>
    <row r="25" spans="2:8" x14ac:dyDescent="0.35">
      <c r="B25" s="1" t="s">
        <v>54</v>
      </c>
      <c r="C25" s="12"/>
      <c r="D25" s="1" t="s">
        <v>55</v>
      </c>
      <c r="E25" s="12"/>
      <c r="F25" s="48"/>
      <c r="G25" s="48"/>
      <c r="H25" s="48"/>
    </row>
    <row r="26" spans="2:8" x14ac:dyDescent="0.35">
      <c r="B26" s="1" t="s">
        <v>56</v>
      </c>
      <c r="C26" s="12"/>
      <c r="D26" s="1" t="s">
        <v>57</v>
      </c>
      <c r="E26" s="12"/>
      <c r="F26" s="48"/>
      <c r="G26" s="48"/>
      <c r="H26" s="48"/>
    </row>
    <row r="27" spans="2:8" x14ac:dyDescent="0.35">
      <c r="B27" s="1" t="s">
        <v>58</v>
      </c>
      <c r="C27" s="12"/>
      <c r="D27" s="1" t="s">
        <v>59</v>
      </c>
      <c r="E27" s="12"/>
      <c r="F27" s="48"/>
      <c r="G27" s="48"/>
      <c r="H27" s="48"/>
    </row>
    <row r="28" spans="2:8" ht="15.75" customHeight="1" x14ac:dyDescent="0.35">
      <c r="B28" s="1" t="s">
        <v>60</v>
      </c>
      <c r="C28" s="12"/>
      <c r="D28" s="6" t="s">
        <v>61</v>
      </c>
      <c r="E28" s="12"/>
      <c r="F28" s="48"/>
      <c r="G28" s="48"/>
      <c r="H28" s="48"/>
    </row>
    <row r="29" spans="2:8" x14ac:dyDescent="0.35">
      <c r="B29" s="1" t="s">
        <v>62</v>
      </c>
      <c r="C29" s="12"/>
      <c r="D29" s="116" t="s">
        <v>63</v>
      </c>
      <c r="E29" s="119">
        <f>SUM(E18:E28)</f>
        <v>0</v>
      </c>
      <c r="F29" s="48"/>
      <c r="G29" s="48"/>
      <c r="H29" s="48"/>
    </row>
    <row r="30" spans="2:8" x14ac:dyDescent="0.35">
      <c r="B30" s="1" t="s">
        <v>64</v>
      </c>
      <c r="C30" s="12"/>
      <c r="D30" s="117"/>
      <c r="E30" s="120"/>
      <c r="F30" s="48"/>
      <c r="G30" s="48"/>
      <c r="H30" s="48"/>
    </row>
    <row r="31" spans="2:8" ht="15.75" customHeight="1" x14ac:dyDescent="0.35">
      <c r="B31" s="1" t="s">
        <v>65</v>
      </c>
      <c r="C31" s="12"/>
      <c r="D31" s="118"/>
      <c r="E31" s="121"/>
      <c r="F31" s="48"/>
      <c r="G31" s="48"/>
      <c r="H31" s="48"/>
    </row>
    <row r="32" spans="2:8" x14ac:dyDescent="0.35">
      <c r="B32" s="1" t="s">
        <v>66</v>
      </c>
      <c r="C32" s="12"/>
      <c r="D32" s="122" t="s">
        <v>67</v>
      </c>
      <c r="E32" s="119">
        <f>+E29+E15</f>
        <v>0</v>
      </c>
      <c r="F32" s="48"/>
      <c r="G32" s="48"/>
      <c r="H32" s="48"/>
    </row>
    <row r="33" spans="2:5" x14ac:dyDescent="0.35">
      <c r="B33" s="1" t="s">
        <v>68</v>
      </c>
      <c r="C33" s="12"/>
      <c r="D33" s="117"/>
      <c r="E33" s="120"/>
    </row>
    <row r="34" spans="2:5" ht="15.75" customHeight="1" x14ac:dyDescent="0.35">
      <c r="B34" s="4" t="s">
        <v>69</v>
      </c>
      <c r="C34" s="12"/>
      <c r="D34" s="117"/>
      <c r="E34" s="120"/>
    </row>
    <row r="35" spans="2:5" x14ac:dyDescent="0.35">
      <c r="B35" s="122" t="s">
        <v>70</v>
      </c>
      <c r="C35" s="119">
        <f>SUM(C4:C34)</f>
        <v>0</v>
      </c>
      <c r="D35" s="117"/>
      <c r="E35" s="120"/>
    </row>
    <row r="36" spans="2:5" ht="15.75" customHeight="1" x14ac:dyDescent="0.35">
      <c r="B36" s="118"/>
      <c r="C36" s="121"/>
      <c r="D36" s="118"/>
      <c r="E36" s="121"/>
    </row>
    <row r="40" spans="2:5" ht="15.75" customHeight="1" x14ac:dyDescent="0.35">
      <c r="B40" s="48"/>
      <c r="C40" s="48"/>
      <c r="D40" s="48"/>
      <c r="E40" s="48"/>
    </row>
    <row r="41" spans="2:5" ht="15.75" customHeight="1" x14ac:dyDescent="0.35">
      <c r="B41" s="114" t="s">
        <v>71</v>
      </c>
      <c r="C41" s="115"/>
      <c r="D41" s="48"/>
      <c r="E41" s="48"/>
    </row>
    <row r="42" spans="2:5" x14ac:dyDescent="0.35">
      <c r="B42" s="3" t="s">
        <v>72</v>
      </c>
      <c r="C42" s="29"/>
      <c r="D42" s="48"/>
      <c r="E42" s="48"/>
    </row>
    <row r="43" spans="2:5" x14ac:dyDescent="0.35">
      <c r="B43" s="1" t="s">
        <v>73</v>
      </c>
      <c r="C43" s="29">
        <v>0</v>
      </c>
      <c r="D43" s="48"/>
      <c r="E43" s="48"/>
    </row>
    <row r="44" spans="2:5" x14ac:dyDescent="0.35">
      <c r="B44" s="1" t="s">
        <v>74</v>
      </c>
      <c r="C44" s="30">
        <f>+SUM(C42:C43)</f>
        <v>0</v>
      </c>
      <c r="D44" s="48"/>
      <c r="E44" s="48"/>
    </row>
    <row r="45" spans="2:5" x14ac:dyDescent="0.35">
      <c r="B45" s="1" t="s">
        <v>75</v>
      </c>
      <c r="C45" s="29"/>
      <c r="D45" s="48"/>
      <c r="E45" s="48"/>
    </row>
    <row r="46" spans="2:5" x14ac:dyDescent="0.35">
      <c r="B46" s="1" t="s">
        <v>76</v>
      </c>
      <c r="C46" s="30">
        <f>+IF(SUM(C44:C45)&lt;0,0,SUM(C44:C45))</f>
        <v>0</v>
      </c>
      <c r="D46" s="48"/>
      <c r="E46" s="48"/>
    </row>
    <row r="47" spans="2:5" x14ac:dyDescent="0.35">
      <c r="B47" s="1" t="s">
        <v>77</v>
      </c>
      <c r="C47" s="30">
        <f>+IF(SUM(C44:C45)&lt;0,SUM(C44:C45),0)</f>
        <v>0</v>
      </c>
      <c r="D47" s="48"/>
      <c r="E47" s="48"/>
    </row>
    <row r="48" spans="2:5" x14ac:dyDescent="0.35">
      <c r="B48" s="1" t="s">
        <v>78</v>
      </c>
      <c r="C48" s="29"/>
      <c r="D48" s="48"/>
      <c r="E48" s="48"/>
    </row>
    <row r="49" spans="2:3" x14ac:dyDescent="0.35">
      <c r="B49" s="1" t="s">
        <v>79</v>
      </c>
      <c r="C49" s="29"/>
    </row>
    <row r="50" spans="2:3" x14ac:dyDescent="0.35">
      <c r="B50" s="1" t="s">
        <v>80</v>
      </c>
      <c r="C50" s="30">
        <f>IF(SUM(C46:C49)&lt;0,0,SUM(C46:C49))</f>
        <v>0</v>
      </c>
    </row>
    <row r="51" spans="2:3" x14ac:dyDescent="0.35">
      <c r="B51" s="1" t="s">
        <v>81</v>
      </c>
      <c r="C51" s="30">
        <f>IF(SUM(C46:C49)&lt;=0,SUM(C46:C49),0)</f>
        <v>0</v>
      </c>
    </row>
    <row r="52" spans="2:3" x14ac:dyDescent="0.35">
      <c r="B52" s="1" t="s">
        <v>82</v>
      </c>
      <c r="C52" s="29"/>
    </row>
    <row r="53" spans="2:3" x14ac:dyDescent="0.35">
      <c r="B53" s="1" t="s">
        <v>83</v>
      </c>
      <c r="C53" s="29"/>
    </row>
    <row r="54" spans="2:3" x14ac:dyDescent="0.35">
      <c r="B54" s="1" t="s">
        <v>84</v>
      </c>
      <c r="C54" s="29"/>
    </row>
    <row r="55" spans="2:3" x14ac:dyDescent="0.35">
      <c r="B55" s="1" t="s">
        <v>85</v>
      </c>
      <c r="C55" s="29"/>
    </row>
    <row r="56" spans="2:3" x14ac:dyDescent="0.35">
      <c r="B56" s="1" t="s">
        <v>86</v>
      </c>
      <c r="C56" s="29"/>
    </row>
    <row r="57" spans="2:3" x14ac:dyDescent="0.35">
      <c r="B57" s="1" t="s">
        <v>87</v>
      </c>
      <c r="C57" s="29"/>
    </row>
    <row r="58" spans="2:3" x14ac:dyDescent="0.35">
      <c r="B58" s="1" t="s">
        <v>88</v>
      </c>
      <c r="C58" s="29"/>
    </row>
    <row r="59" spans="2:3" x14ac:dyDescent="0.35">
      <c r="B59" s="1" t="s">
        <v>89</v>
      </c>
      <c r="C59" s="29"/>
    </row>
    <row r="60" spans="2:3" x14ac:dyDescent="0.35">
      <c r="B60" s="1" t="s">
        <v>90</v>
      </c>
      <c r="C60" s="29"/>
    </row>
    <row r="61" spans="2:3" x14ac:dyDescent="0.35">
      <c r="B61" s="1" t="s">
        <v>91</v>
      </c>
      <c r="C61" s="30">
        <f>+IF(SUM(C50:C60)&lt;0,0,SUM(C50:C60))</f>
        <v>0</v>
      </c>
    </row>
    <row r="62" spans="2:3" x14ac:dyDescent="0.35">
      <c r="B62" s="1" t="s">
        <v>92</v>
      </c>
      <c r="C62" s="30">
        <f>+IF(SUM(C50:C60)&lt;0,SUM(C50:C60),0)</f>
        <v>0</v>
      </c>
    </row>
    <row r="63" spans="2:3" x14ac:dyDescent="0.35">
      <c r="B63" s="1" t="s">
        <v>93</v>
      </c>
      <c r="C63" s="2"/>
    </row>
    <row r="64" spans="2:3" x14ac:dyDescent="0.35">
      <c r="B64" s="1" t="s">
        <v>94</v>
      </c>
      <c r="C64" s="30">
        <f>+IF(SUM(C61:C63)&lt;0,0,SUM(C61:C63))</f>
        <v>0</v>
      </c>
    </row>
    <row r="65" spans="2:3" x14ac:dyDescent="0.35">
      <c r="B65" s="1" t="s">
        <v>95</v>
      </c>
      <c r="C65" s="31">
        <f>+IF(SUM(C61:C63)&lt;0,SUM(C61:C63),0)</f>
        <v>0</v>
      </c>
    </row>
    <row r="66" spans="2:3" x14ac:dyDescent="0.35">
      <c r="B66" s="1" t="s">
        <v>96</v>
      </c>
      <c r="C66" s="2"/>
    </row>
    <row r="67" spans="2:3" x14ac:dyDescent="0.35">
      <c r="B67" s="1" t="s">
        <v>97</v>
      </c>
      <c r="C67" s="30">
        <f>+IF(SUM(C64:C66)&lt;0,0,SUM(C64:C66))</f>
        <v>0</v>
      </c>
    </row>
    <row r="68" spans="2:3" ht="15.75" customHeight="1" x14ac:dyDescent="0.35">
      <c r="B68" s="1" t="s">
        <v>98</v>
      </c>
      <c r="C68" s="30">
        <f>+IF(SUM(C64:C66)&lt;0,SUM(C64:C66),0)</f>
        <v>0</v>
      </c>
    </row>
    <row r="69" spans="2:3" x14ac:dyDescent="0.35">
      <c r="B69" s="122" t="s">
        <v>99</v>
      </c>
      <c r="C69" s="119">
        <f>+IF(C67=0,C68,C67)</f>
        <v>0</v>
      </c>
    </row>
    <row r="70" spans="2:3" ht="15.75" customHeight="1" x14ac:dyDescent="0.35">
      <c r="B70" s="118"/>
      <c r="C70" s="121"/>
    </row>
  </sheetData>
  <mergeCells count="13">
    <mergeCell ref="B3:C3"/>
    <mergeCell ref="D29:D31"/>
    <mergeCell ref="D3:E3"/>
    <mergeCell ref="E32:E36"/>
    <mergeCell ref="B69:B70"/>
    <mergeCell ref="E15:E17"/>
    <mergeCell ref="E29:E31"/>
    <mergeCell ref="B35:B36"/>
    <mergeCell ref="B41:C41"/>
    <mergeCell ref="D32:D36"/>
    <mergeCell ref="C35:C36"/>
    <mergeCell ref="D15:D17"/>
    <mergeCell ref="C69:C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70"/>
  <sheetViews>
    <sheetView topLeftCell="A40" zoomScale="76" workbookViewId="0">
      <selection activeCell="C37" sqref="C37"/>
    </sheetView>
  </sheetViews>
  <sheetFormatPr defaultRowHeight="14.5" x14ac:dyDescent="0.35"/>
  <cols>
    <col min="2" max="2" width="51.7265625" customWidth="1"/>
    <col min="3" max="3" width="17.81640625" customWidth="1"/>
    <col min="4" max="4" width="40.81640625" customWidth="1"/>
    <col min="5" max="5" width="18.26953125" customWidth="1"/>
    <col min="8" max="8" width="16.7265625" customWidth="1"/>
    <col min="9" max="9" width="17.54296875" customWidth="1"/>
    <col min="10" max="10" width="16.81640625" customWidth="1"/>
    <col min="12" max="12" width="11.1796875" customWidth="1"/>
  </cols>
  <sheetData>
    <row r="2" spans="2:12" ht="15.75" customHeight="1" x14ac:dyDescent="0.35"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2:12" ht="15.75" customHeight="1" x14ac:dyDescent="0.35">
      <c r="B3" s="114" t="s">
        <v>0</v>
      </c>
      <c r="C3" s="115"/>
      <c r="D3" s="114" t="s">
        <v>1</v>
      </c>
      <c r="E3" s="115"/>
      <c r="F3" s="48"/>
      <c r="G3" s="48"/>
      <c r="H3" s="48" t="s">
        <v>2</v>
      </c>
      <c r="I3" s="46">
        <f>C42</f>
        <v>0</v>
      </c>
      <c r="J3" s="48"/>
      <c r="K3" s="48" t="s">
        <v>3</v>
      </c>
      <c r="L3" s="60">
        <f>+C35-E32</f>
        <v>0</v>
      </c>
    </row>
    <row r="4" spans="2:12" x14ac:dyDescent="0.35">
      <c r="B4" s="3" t="s">
        <v>4</v>
      </c>
      <c r="C4" s="32"/>
      <c r="D4" s="3" t="s">
        <v>5</v>
      </c>
      <c r="E4" s="32"/>
      <c r="F4" s="48"/>
      <c r="G4" s="48"/>
      <c r="H4" s="48" t="s">
        <v>6</v>
      </c>
      <c r="I4" s="46">
        <f>+E27</f>
        <v>0</v>
      </c>
      <c r="J4" s="48"/>
      <c r="K4" s="48"/>
      <c r="L4" s="48"/>
    </row>
    <row r="5" spans="2:12" x14ac:dyDescent="0.35">
      <c r="B5" s="1" t="s">
        <v>7</v>
      </c>
      <c r="C5" s="32"/>
      <c r="D5" s="1" t="s">
        <v>8</v>
      </c>
      <c r="E5" s="32"/>
      <c r="F5" s="48"/>
      <c r="G5" s="48"/>
      <c r="H5" s="48" t="s">
        <v>9</v>
      </c>
      <c r="I5" s="49">
        <f>+I4/3.8</f>
        <v>0</v>
      </c>
      <c r="J5" s="48"/>
      <c r="K5" s="48"/>
      <c r="L5" s="48"/>
    </row>
    <row r="6" spans="2:12" x14ac:dyDescent="0.35">
      <c r="B6" s="1" t="s">
        <v>10</v>
      </c>
      <c r="C6" s="32"/>
      <c r="D6" s="1" t="s">
        <v>11</v>
      </c>
      <c r="E6" s="32"/>
      <c r="F6" s="48"/>
      <c r="G6" s="48"/>
      <c r="H6" s="48"/>
      <c r="I6" s="48"/>
      <c r="J6" s="48"/>
      <c r="K6" s="48"/>
      <c r="L6" s="48"/>
    </row>
    <row r="7" spans="2:12" x14ac:dyDescent="0.35">
      <c r="B7" s="1" t="s">
        <v>12</v>
      </c>
      <c r="C7" s="32"/>
      <c r="D7" s="1" t="s">
        <v>13</v>
      </c>
      <c r="E7" s="32"/>
      <c r="F7" s="48"/>
      <c r="G7" s="48"/>
      <c r="H7" s="48" t="s">
        <v>14</v>
      </c>
      <c r="I7" s="50"/>
      <c r="J7" s="48"/>
      <c r="K7" s="48"/>
      <c r="L7" s="48"/>
    </row>
    <row r="8" spans="2:12" x14ac:dyDescent="0.35">
      <c r="B8" s="1" t="s">
        <v>15</v>
      </c>
      <c r="C8" s="32"/>
      <c r="D8" s="1" t="s">
        <v>16</v>
      </c>
      <c r="E8" s="32"/>
      <c r="F8" s="48"/>
      <c r="G8" s="48"/>
      <c r="H8" s="48" t="s">
        <v>1</v>
      </c>
      <c r="I8" s="51"/>
      <c r="J8" s="48"/>
      <c r="K8" s="48"/>
      <c r="L8" s="48"/>
    </row>
    <row r="9" spans="2:12" x14ac:dyDescent="0.35">
      <c r="B9" s="1" t="s">
        <v>17</v>
      </c>
      <c r="C9" s="32"/>
      <c r="D9" s="1" t="s">
        <v>18</v>
      </c>
      <c r="E9" s="32"/>
      <c r="F9" s="48"/>
      <c r="G9" s="48"/>
      <c r="H9" s="48" t="s">
        <v>19</v>
      </c>
      <c r="I9" s="52"/>
      <c r="J9" s="48"/>
      <c r="K9" s="48"/>
      <c r="L9" s="48"/>
    </row>
    <row r="10" spans="2:12" x14ac:dyDescent="0.35">
      <c r="B10" s="1" t="s">
        <v>20</v>
      </c>
      <c r="C10" s="32"/>
      <c r="D10" s="1" t="s">
        <v>21</v>
      </c>
      <c r="E10" s="32"/>
      <c r="F10" s="48"/>
      <c r="G10" s="48"/>
      <c r="H10" s="48"/>
      <c r="I10" s="48"/>
      <c r="J10" s="48"/>
      <c r="K10" s="48"/>
      <c r="L10" s="48"/>
    </row>
    <row r="11" spans="2:12" x14ac:dyDescent="0.35">
      <c r="B11" s="1" t="s">
        <v>22</v>
      </c>
      <c r="C11" s="32"/>
      <c r="D11" s="1" t="s">
        <v>23</v>
      </c>
      <c r="E11" s="32"/>
      <c r="F11" s="48"/>
      <c r="G11" s="48"/>
      <c r="H11" s="48" t="s">
        <v>24</v>
      </c>
      <c r="I11" s="53">
        <f>SUM(C4:C12)</f>
        <v>0</v>
      </c>
      <c r="J11" s="54">
        <f>SUM(E4:E11)</f>
        <v>0</v>
      </c>
      <c r="K11" s="55" t="e">
        <f>SUM(C4:C11)/SUM(E4:E11)</f>
        <v>#DIV/0!</v>
      </c>
      <c r="L11" s="48"/>
    </row>
    <row r="12" spans="2:12" x14ac:dyDescent="0.35">
      <c r="B12" s="1" t="s">
        <v>25</v>
      </c>
      <c r="C12" s="32"/>
      <c r="D12" s="1" t="s">
        <v>26</v>
      </c>
      <c r="E12" s="32"/>
      <c r="F12" s="48"/>
      <c r="G12" s="48"/>
      <c r="H12" s="48" t="s">
        <v>27</v>
      </c>
      <c r="I12" s="53">
        <f>SUM(C4:C12)</f>
        <v>0</v>
      </c>
      <c r="J12" s="54">
        <f>SUM(E4:E14)</f>
        <v>0</v>
      </c>
      <c r="K12" s="55" t="e">
        <f>SUM(C4:C11)/SUM(E4:E14)</f>
        <v>#DIV/0!</v>
      </c>
      <c r="L12" s="48"/>
    </row>
    <row r="13" spans="2:12" x14ac:dyDescent="0.35">
      <c r="B13" s="1" t="s">
        <v>28</v>
      </c>
      <c r="C13" s="32"/>
      <c r="D13" s="1" t="s">
        <v>29</v>
      </c>
      <c r="E13" s="32"/>
      <c r="F13" s="48"/>
      <c r="G13" s="48"/>
      <c r="H13" s="48" t="s">
        <v>30</v>
      </c>
      <c r="I13" s="54">
        <f>SUM(E4:E14)</f>
        <v>0</v>
      </c>
      <c r="J13" s="56">
        <f>SUM(E18:E28)</f>
        <v>0</v>
      </c>
      <c r="K13" s="55" t="e">
        <f>I13/J13</f>
        <v>#DIV/0!</v>
      </c>
      <c r="L13" s="48"/>
    </row>
    <row r="14" spans="2:12" ht="15.75" customHeight="1" x14ac:dyDescent="0.35">
      <c r="B14" s="1" t="s">
        <v>31</v>
      </c>
      <c r="C14" s="32"/>
      <c r="D14" s="4" t="s">
        <v>32</v>
      </c>
      <c r="E14" s="32"/>
      <c r="F14" s="48"/>
      <c r="G14" s="48"/>
      <c r="H14" s="48" t="s">
        <v>100</v>
      </c>
      <c r="I14" s="48"/>
      <c r="J14" s="48"/>
      <c r="K14" s="57" t="e">
        <f>+I4/I3</f>
        <v>#DIV/0!</v>
      </c>
      <c r="L14" s="48"/>
    </row>
    <row r="15" spans="2:12" x14ac:dyDescent="0.35">
      <c r="B15" s="1" t="s">
        <v>34</v>
      </c>
      <c r="C15" s="32"/>
      <c r="D15" s="122" t="s">
        <v>35</v>
      </c>
      <c r="E15" s="119">
        <f>SUM(E4:E14)</f>
        <v>0</v>
      </c>
      <c r="F15" s="48"/>
      <c r="G15" s="48"/>
      <c r="H15" s="48" t="s">
        <v>37</v>
      </c>
      <c r="I15" s="58">
        <f>+I4</f>
        <v>0</v>
      </c>
      <c r="J15" s="46">
        <f>+I3</f>
        <v>0</v>
      </c>
      <c r="K15" s="61" t="e">
        <f>+I15/J15</f>
        <v>#DIV/0!</v>
      </c>
      <c r="L15" s="48"/>
    </row>
    <row r="16" spans="2:12" x14ac:dyDescent="0.35">
      <c r="B16" s="1" t="s">
        <v>36</v>
      </c>
      <c r="C16" s="32"/>
      <c r="D16" s="117"/>
      <c r="E16" s="120"/>
      <c r="F16" s="48"/>
      <c r="G16" s="48"/>
      <c r="H16" s="48" t="s">
        <v>39</v>
      </c>
      <c r="I16" s="46">
        <v>0</v>
      </c>
      <c r="J16" s="46">
        <v>0</v>
      </c>
      <c r="K16" s="62" t="e">
        <f>+-C42/C45</f>
        <v>#DIV/0!</v>
      </c>
      <c r="L16" s="48"/>
    </row>
    <row r="17" spans="2:8" ht="15.75" customHeight="1" x14ac:dyDescent="0.35">
      <c r="B17" s="1" t="s">
        <v>38</v>
      </c>
      <c r="C17" s="32"/>
      <c r="D17" s="118"/>
      <c r="E17" s="121"/>
      <c r="F17" s="48"/>
      <c r="G17" s="48"/>
      <c r="H17" s="48"/>
    </row>
    <row r="18" spans="2:8" x14ac:dyDescent="0.35">
      <c r="B18" s="1" t="s">
        <v>40</v>
      </c>
      <c r="C18" s="32"/>
      <c r="D18" s="5" t="s">
        <v>41</v>
      </c>
      <c r="E18" s="32"/>
      <c r="F18" s="48"/>
      <c r="G18" s="48"/>
      <c r="H18" s="48"/>
    </row>
    <row r="19" spans="2:8" x14ac:dyDescent="0.35">
      <c r="B19" s="1" t="s">
        <v>42</v>
      </c>
      <c r="C19" s="32"/>
      <c r="D19" s="1" t="s">
        <v>43</v>
      </c>
      <c r="E19" s="32"/>
      <c r="F19" s="48"/>
      <c r="G19" s="48"/>
      <c r="H19" s="46"/>
    </row>
    <row r="20" spans="2:8" x14ac:dyDescent="0.35">
      <c r="B20" s="1" t="s">
        <v>44</v>
      </c>
      <c r="C20" s="32"/>
      <c r="D20" s="1" t="s">
        <v>45</v>
      </c>
      <c r="E20" s="32"/>
      <c r="F20" s="48"/>
      <c r="G20" s="48"/>
      <c r="H20" s="48"/>
    </row>
    <row r="21" spans="2:8" x14ac:dyDescent="0.35">
      <c r="B21" s="1" t="s">
        <v>46</v>
      </c>
      <c r="C21" s="32"/>
      <c r="D21" s="1" t="s">
        <v>47</v>
      </c>
      <c r="E21" s="32"/>
      <c r="F21" s="48"/>
      <c r="G21" s="48"/>
      <c r="H21" s="48"/>
    </row>
    <row r="22" spans="2:8" x14ac:dyDescent="0.35">
      <c r="B22" s="1" t="s">
        <v>48</v>
      </c>
      <c r="C22" s="32"/>
      <c r="D22" s="1" t="s">
        <v>49</v>
      </c>
      <c r="E22" s="32"/>
      <c r="F22" s="48"/>
      <c r="G22" s="48"/>
      <c r="H22" s="48"/>
    </row>
    <row r="23" spans="2:8" x14ac:dyDescent="0.35">
      <c r="B23" s="1" t="s">
        <v>50</v>
      </c>
      <c r="C23" s="32"/>
      <c r="D23" s="1" t="s">
        <v>51</v>
      </c>
      <c r="E23" s="32"/>
      <c r="F23" s="48"/>
      <c r="G23" s="48"/>
      <c r="H23" s="48"/>
    </row>
    <row r="24" spans="2:8" x14ac:dyDescent="0.35">
      <c r="B24" s="1" t="s">
        <v>52</v>
      </c>
      <c r="C24" s="32"/>
      <c r="D24" s="1" t="s">
        <v>53</v>
      </c>
      <c r="E24" s="32"/>
      <c r="F24" s="48"/>
      <c r="G24" s="48"/>
      <c r="H24" s="48"/>
    </row>
    <row r="25" spans="2:8" x14ac:dyDescent="0.35">
      <c r="B25" s="1" t="s">
        <v>54</v>
      </c>
      <c r="C25" s="32"/>
      <c r="D25" s="1" t="s">
        <v>55</v>
      </c>
      <c r="E25" s="32"/>
      <c r="F25" s="48"/>
      <c r="G25" s="48"/>
      <c r="H25" s="48"/>
    </row>
    <row r="26" spans="2:8" x14ac:dyDescent="0.35">
      <c r="B26" s="1" t="s">
        <v>56</v>
      </c>
      <c r="C26" s="32"/>
      <c r="D26" s="1" t="s">
        <v>57</v>
      </c>
      <c r="E26" s="32"/>
      <c r="F26" s="48"/>
      <c r="G26" s="48"/>
      <c r="H26" s="48"/>
    </row>
    <row r="27" spans="2:8" x14ac:dyDescent="0.35">
      <c r="B27" s="1" t="s">
        <v>58</v>
      </c>
      <c r="C27" s="32"/>
      <c r="D27" s="1" t="s">
        <v>59</v>
      </c>
      <c r="E27" s="32"/>
      <c r="F27" s="48"/>
      <c r="G27" s="48"/>
      <c r="H27" s="48"/>
    </row>
    <row r="28" spans="2:8" ht="15.75" customHeight="1" x14ac:dyDescent="0.35">
      <c r="B28" s="1" t="s">
        <v>60</v>
      </c>
      <c r="C28" s="32"/>
      <c r="D28" s="6" t="s">
        <v>61</v>
      </c>
      <c r="E28" s="32"/>
      <c r="F28" s="48"/>
      <c r="G28" s="48"/>
      <c r="H28" s="48"/>
    </row>
    <row r="29" spans="2:8" x14ac:dyDescent="0.35">
      <c r="B29" s="1" t="s">
        <v>62</v>
      </c>
      <c r="C29" s="32"/>
      <c r="D29" s="122" t="s">
        <v>63</v>
      </c>
      <c r="E29" s="119">
        <f>SUM(E18:E28)</f>
        <v>0</v>
      </c>
      <c r="F29" s="48"/>
      <c r="G29" s="48"/>
      <c r="H29" s="48"/>
    </row>
    <row r="30" spans="2:8" x14ac:dyDescent="0.35">
      <c r="B30" s="1" t="s">
        <v>64</v>
      </c>
      <c r="C30" s="32"/>
      <c r="D30" s="117"/>
      <c r="E30" s="120"/>
      <c r="F30" s="48"/>
      <c r="G30" s="48"/>
      <c r="H30" s="48"/>
    </row>
    <row r="31" spans="2:8" ht="15.75" customHeight="1" x14ac:dyDescent="0.35">
      <c r="B31" s="1" t="s">
        <v>65</v>
      </c>
      <c r="C31" s="32"/>
      <c r="D31" s="118"/>
      <c r="E31" s="121"/>
      <c r="F31" s="48"/>
      <c r="G31" s="48"/>
      <c r="H31" s="48"/>
    </row>
    <row r="32" spans="2:8" x14ac:dyDescent="0.35">
      <c r="B32" s="1" t="s">
        <v>66</v>
      </c>
      <c r="C32" s="32"/>
      <c r="D32" s="122" t="s">
        <v>67</v>
      </c>
      <c r="E32" s="119">
        <f>+E29+E15</f>
        <v>0</v>
      </c>
      <c r="F32" s="48"/>
      <c r="G32" s="48"/>
      <c r="H32" s="48"/>
    </row>
    <row r="33" spans="2:8" x14ac:dyDescent="0.35">
      <c r="B33" s="1" t="s">
        <v>68</v>
      </c>
      <c r="C33" s="32"/>
      <c r="D33" s="117"/>
      <c r="E33" s="120"/>
      <c r="F33" s="48"/>
      <c r="G33" s="48"/>
      <c r="H33" s="46"/>
    </row>
    <row r="34" spans="2:8" ht="15.75" customHeight="1" x14ac:dyDescent="0.35">
      <c r="B34" s="4" t="s">
        <v>69</v>
      </c>
      <c r="C34" s="32"/>
      <c r="D34" s="117"/>
      <c r="E34" s="120"/>
      <c r="F34" s="48"/>
      <c r="G34" s="48"/>
      <c r="H34" s="48"/>
    </row>
    <row r="35" spans="2:8" x14ac:dyDescent="0.35">
      <c r="B35" s="122" t="s">
        <v>70</v>
      </c>
      <c r="C35" s="119">
        <f>SUM(C4:C34)</f>
        <v>0</v>
      </c>
      <c r="D35" s="117"/>
      <c r="E35" s="120"/>
      <c r="F35" s="48"/>
      <c r="G35" s="48"/>
      <c r="H35" s="46"/>
    </row>
    <row r="36" spans="2:8" ht="15.75" customHeight="1" x14ac:dyDescent="0.35">
      <c r="B36" s="118"/>
      <c r="C36" s="121"/>
      <c r="D36" s="118"/>
      <c r="E36" s="121"/>
      <c r="F36" s="48"/>
      <c r="G36" s="48"/>
      <c r="H36" s="48"/>
    </row>
    <row r="40" spans="2:8" ht="15.75" customHeight="1" x14ac:dyDescent="0.35">
      <c r="B40" s="48"/>
      <c r="C40" s="48"/>
      <c r="D40" s="48"/>
      <c r="E40" s="48"/>
      <c r="F40" s="48"/>
      <c r="G40" s="48"/>
      <c r="H40" s="48"/>
    </row>
    <row r="41" spans="2:8" ht="15.75" customHeight="1" x14ac:dyDescent="0.35">
      <c r="B41" s="114" t="s">
        <v>71</v>
      </c>
      <c r="C41" s="115"/>
      <c r="D41" s="48"/>
      <c r="E41" s="48"/>
      <c r="F41" s="48"/>
      <c r="G41" s="48"/>
      <c r="H41" s="48"/>
    </row>
    <row r="42" spans="2:8" x14ac:dyDescent="0.35">
      <c r="B42" s="3" t="s">
        <v>72</v>
      </c>
      <c r="C42" s="29"/>
      <c r="D42" s="48"/>
      <c r="E42" s="48"/>
      <c r="F42" s="48"/>
      <c r="G42" s="48"/>
      <c r="H42" s="48"/>
    </row>
    <row r="43" spans="2:8" x14ac:dyDescent="0.35">
      <c r="B43" s="1" t="s">
        <v>73</v>
      </c>
      <c r="C43" s="2"/>
      <c r="D43" s="48"/>
      <c r="E43" s="48"/>
      <c r="F43" s="48"/>
      <c r="G43" s="48"/>
      <c r="H43" s="48"/>
    </row>
    <row r="44" spans="2:8" x14ac:dyDescent="0.35">
      <c r="B44" s="1" t="s">
        <v>74</v>
      </c>
      <c r="C44" s="30">
        <f>+C42</f>
        <v>0</v>
      </c>
      <c r="D44" s="48"/>
      <c r="E44" s="48"/>
      <c r="F44" s="48"/>
      <c r="G44" s="48"/>
      <c r="H44" s="48"/>
    </row>
    <row r="45" spans="2:8" x14ac:dyDescent="0.35">
      <c r="B45" s="1" t="s">
        <v>75</v>
      </c>
      <c r="C45" s="29"/>
      <c r="D45" s="48"/>
      <c r="E45" s="48"/>
      <c r="F45" s="48"/>
      <c r="G45" s="48"/>
      <c r="H45" s="48"/>
    </row>
    <row r="46" spans="2:8" x14ac:dyDescent="0.35">
      <c r="B46" s="1" t="s">
        <v>76</v>
      </c>
      <c r="C46" s="30">
        <f>+C44+C45</f>
        <v>0</v>
      </c>
      <c r="D46" s="48"/>
      <c r="E46" s="48"/>
      <c r="F46" s="48"/>
      <c r="G46" s="48"/>
      <c r="H46" s="48"/>
    </row>
    <row r="47" spans="2:8" x14ac:dyDescent="0.35">
      <c r="B47" s="1" t="s">
        <v>77</v>
      </c>
      <c r="C47" s="30">
        <v>0</v>
      </c>
      <c r="D47" s="48"/>
      <c r="E47" s="48"/>
      <c r="F47" s="48"/>
      <c r="G47" s="48"/>
      <c r="H47" s="48"/>
    </row>
    <row r="48" spans="2:8" x14ac:dyDescent="0.35">
      <c r="B48" s="1" t="s">
        <v>78</v>
      </c>
      <c r="C48" s="29"/>
      <c r="D48" s="48"/>
      <c r="E48" s="48"/>
      <c r="F48" s="48"/>
      <c r="G48" s="48"/>
      <c r="H48" s="48"/>
    </row>
    <row r="49" spans="2:3" x14ac:dyDescent="0.35">
      <c r="B49" s="1" t="s">
        <v>79</v>
      </c>
      <c r="C49" s="29"/>
    </row>
    <row r="50" spans="2:3" x14ac:dyDescent="0.35">
      <c r="B50" s="1" t="s">
        <v>80</v>
      </c>
      <c r="C50" s="30">
        <f>+IF(C46+C48+C49&lt;0,0,C46+C48+C49)</f>
        <v>0</v>
      </c>
    </row>
    <row r="51" spans="2:3" x14ac:dyDescent="0.35">
      <c r="B51" s="1" t="s">
        <v>81</v>
      </c>
      <c r="C51" s="30">
        <f>+IF(C46+C48+C49&lt;0,C46+C48+C49,0)</f>
        <v>0</v>
      </c>
    </row>
    <row r="52" spans="2:3" x14ac:dyDescent="0.35">
      <c r="B52" s="1" t="s">
        <v>82</v>
      </c>
      <c r="C52" s="29"/>
    </row>
    <row r="53" spans="2:3" x14ac:dyDescent="0.35">
      <c r="B53" s="1" t="s">
        <v>83</v>
      </c>
      <c r="C53" s="29"/>
    </row>
    <row r="54" spans="2:3" x14ac:dyDescent="0.35">
      <c r="B54" s="1" t="s">
        <v>84</v>
      </c>
      <c r="C54" s="29"/>
    </row>
    <row r="55" spans="2:3" x14ac:dyDescent="0.35">
      <c r="B55" s="1" t="s">
        <v>85</v>
      </c>
      <c r="C55" s="29"/>
    </row>
    <row r="56" spans="2:3" x14ac:dyDescent="0.35">
      <c r="B56" s="1" t="s">
        <v>86</v>
      </c>
      <c r="C56" s="29"/>
    </row>
    <row r="57" spans="2:3" x14ac:dyDescent="0.35">
      <c r="B57" s="1" t="s">
        <v>87</v>
      </c>
      <c r="C57" s="29"/>
    </row>
    <row r="58" spans="2:3" x14ac:dyDescent="0.35">
      <c r="B58" s="1" t="s">
        <v>88</v>
      </c>
      <c r="C58" s="29"/>
    </row>
    <row r="59" spans="2:3" x14ac:dyDescent="0.35">
      <c r="B59" s="1" t="s">
        <v>89</v>
      </c>
      <c r="C59" s="29"/>
    </row>
    <row r="60" spans="2:3" x14ac:dyDescent="0.35">
      <c r="B60" s="1" t="s">
        <v>90</v>
      </c>
      <c r="C60" s="29"/>
    </row>
    <row r="61" spans="2:3" x14ac:dyDescent="0.35">
      <c r="B61" s="1" t="s">
        <v>91</v>
      </c>
      <c r="C61" s="30">
        <f>+C50+C51+C52+C53+C54+C55+C56+C57+C58</f>
        <v>0</v>
      </c>
    </row>
    <row r="62" spans="2:3" x14ac:dyDescent="0.35">
      <c r="B62" s="1" t="s">
        <v>92</v>
      </c>
      <c r="C62" s="30">
        <v>0</v>
      </c>
    </row>
    <row r="63" spans="2:3" x14ac:dyDescent="0.35">
      <c r="B63" s="1" t="s">
        <v>93</v>
      </c>
      <c r="C63" s="2">
        <v>0</v>
      </c>
    </row>
    <row r="64" spans="2:3" x14ac:dyDescent="0.35">
      <c r="B64" s="1" t="s">
        <v>94</v>
      </c>
      <c r="C64" s="30">
        <f>+C61+C63</f>
        <v>0</v>
      </c>
    </row>
    <row r="65" spans="2:3" x14ac:dyDescent="0.35">
      <c r="B65" s="1" t="s">
        <v>95</v>
      </c>
      <c r="C65" s="30">
        <v>0</v>
      </c>
    </row>
    <row r="66" spans="2:3" x14ac:dyDescent="0.35">
      <c r="B66" s="1" t="s">
        <v>96</v>
      </c>
      <c r="C66" s="2"/>
    </row>
    <row r="67" spans="2:3" x14ac:dyDescent="0.35">
      <c r="B67" s="1" t="s">
        <v>97</v>
      </c>
      <c r="C67" s="30">
        <f>+C64+C65+C66</f>
        <v>0</v>
      </c>
    </row>
    <row r="68" spans="2:3" ht="15.75" customHeight="1" x14ac:dyDescent="0.35">
      <c r="B68" s="1" t="s">
        <v>98</v>
      </c>
      <c r="C68" s="30">
        <v>0</v>
      </c>
    </row>
    <row r="69" spans="2:3" x14ac:dyDescent="0.35">
      <c r="B69" s="122" t="s">
        <v>99</v>
      </c>
      <c r="C69" s="119">
        <f>+C67</f>
        <v>0</v>
      </c>
    </row>
    <row r="70" spans="2:3" ht="15.75" customHeight="1" x14ac:dyDescent="0.35">
      <c r="B70" s="118"/>
      <c r="C70" s="121"/>
    </row>
  </sheetData>
  <mergeCells count="13">
    <mergeCell ref="B3:C3"/>
    <mergeCell ref="D29:D31"/>
    <mergeCell ref="D3:E3"/>
    <mergeCell ref="E32:E36"/>
    <mergeCell ref="B69:B70"/>
    <mergeCell ref="E15:E17"/>
    <mergeCell ref="E29:E31"/>
    <mergeCell ref="B35:B36"/>
    <mergeCell ref="B41:C41"/>
    <mergeCell ref="D32:D36"/>
    <mergeCell ref="C35:C36"/>
    <mergeCell ref="D15:D17"/>
    <mergeCell ref="C69:C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71"/>
  <sheetViews>
    <sheetView zoomScale="79" workbookViewId="0">
      <selection activeCell="C69" sqref="C69:C70"/>
    </sheetView>
  </sheetViews>
  <sheetFormatPr defaultRowHeight="14.5" x14ac:dyDescent="0.35"/>
  <cols>
    <col min="1" max="1" width="2.81640625" customWidth="1"/>
    <col min="2" max="2" width="46.81640625" customWidth="1"/>
    <col min="3" max="3" width="16.7265625" customWidth="1"/>
    <col min="4" max="4" width="19.453125" customWidth="1"/>
    <col min="5" max="5" width="19" customWidth="1"/>
    <col min="6" max="6" width="38" customWidth="1"/>
    <col min="7" max="8" width="16" customWidth="1"/>
    <col min="9" max="9" width="16.81640625" customWidth="1"/>
    <col min="10" max="10" width="16.54296875" customWidth="1"/>
    <col min="11" max="11" width="16.7265625" customWidth="1"/>
    <col min="12" max="12" width="17.54296875" customWidth="1"/>
    <col min="13" max="13" width="16.81640625" customWidth="1"/>
    <col min="15" max="15" width="11.1796875" customWidth="1"/>
  </cols>
  <sheetData>
    <row r="1" spans="2:9" x14ac:dyDescent="0.35">
      <c r="B1" s="63" t="s">
        <v>101</v>
      </c>
      <c r="C1" s="48"/>
      <c r="D1" s="48"/>
      <c r="E1" s="48"/>
      <c r="F1" s="48"/>
      <c r="G1" s="48"/>
      <c r="H1" s="48"/>
      <c r="I1" s="48"/>
    </row>
    <row r="2" spans="2:9" ht="15.75" customHeight="1" x14ac:dyDescent="0.35">
      <c r="B2" s="48"/>
      <c r="C2" s="48"/>
      <c r="D2" s="48"/>
      <c r="E2" s="48"/>
      <c r="F2" s="48"/>
      <c r="G2" s="48"/>
      <c r="H2" s="48"/>
      <c r="I2" s="48"/>
    </row>
    <row r="3" spans="2:9" ht="15.75" customHeight="1" x14ac:dyDescent="0.35">
      <c r="B3" s="7" t="s">
        <v>0</v>
      </c>
      <c r="C3" s="9">
        <v>2025</v>
      </c>
      <c r="D3" s="8">
        <v>2024</v>
      </c>
      <c r="E3" s="18">
        <v>2023</v>
      </c>
      <c r="F3" s="13" t="s">
        <v>1</v>
      </c>
      <c r="G3" s="9">
        <v>2025</v>
      </c>
      <c r="H3" s="8">
        <v>2024</v>
      </c>
      <c r="I3" s="18">
        <v>2023</v>
      </c>
    </row>
    <row r="4" spans="2:9" x14ac:dyDescent="0.35">
      <c r="B4" s="3" t="s">
        <v>4</v>
      </c>
      <c r="C4" s="12">
        <f>'2025'!C4</f>
        <v>0</v>
      </c>
      <c r="D4" s="12">
        <f>'2024'!C4</f>
        <v>0</v>
      </c>
      <c r="E4" s="10">
        <f>'2023'!C4</f>
        <v>0</v>
      </c>
      <c r="F4" s="3" t="s">
        <v>5</v>
      </c>
      <c r="G4" s="12">
        <f>'2025'!E4</f>
        <v>0</v>
      </c>
      <c r="H4" s="12">
        <f>'2024'!E4</f>
        <v>0</v>
      </c>
      <c r="I4" s="10">
        <f>'2023'!E4</f>
        <v>0</v>
      </c>
    </row>
    <row r="5" spans="2:9" x14ac:dyDescent="0.35">
      <c r="B5" s="1" t="s">
        <v>7</v>
      </c>
      <c r="C5" s="12">
        <f>'2025'!C5</f>
        <v>0</v>
      </c>
      <c r="D5" s="12">
        <f>'2024'!C5</f>
        <v>0</v>
      </c>
      <c r="E5" s="10">
        <f>'2023'!C5</f>
        <v>0</v>
      </c>
      <c r="F5" s="1" t="s">
        <v>8</v>
      </c>
      <c r="G5" s="12">
        <f>'2025'!E5</f>
        <v>0</v>
      </c>
      <c r="H5" s="12">
        <f>'2024'!E5</f>
        <v>0</v>
      </c>
      <c r="I5" s="10">
        <f>'2023'!E5</f>
        <v>0</v>
      </c>
    </row>
    <row r="6" spans="2:9" x14ac:dyDescent="0.35">
      <c r="B6" s="1" t="s">
        <v>10</v>
      </c>
      <c r="C6" s="12">
        <f>'2025'!C6</f>
        <v>0</v>
      </c>
      <c r="D6" s="12">
        <f>'2024'!C6</f>
        <v>0</v>
      </c>
      <c r="E6" s="10">
        <f>'2023'!C6</f>
        <v>0</v>
      </c>
      <c r="F6" s="1" t="s">
        <v>11</v>
      </c>
      <c r="G6" s="12">
        <f>'2025'!E6</f>
        <v>0</v>
      </c>
      <c r="H6" s="12">
        <f>'2024'!E6</f>
        <v>0</v>
      </c>
      <c r="I6" s="10">
        <f>'2023'!E6</f>
        <v>0</v>
      </c>
    </row>
    <row r="7" spans="2:9" x14ac:dyDescent="0.35">
      <c r="B7" s="1" t="s">
        <v>12</v>
      </c>
      <c r="C7" s="12">
        <f>'2025'!C7</f>
        <v>0</v>
      </c>
      <c r="D7" s="12">
        <f>'2024'!C7</f>
        <v>0</v>
      </c>
      <c r="E7" s="10">
        <f>'2023'!C7</f>
        <v>0</v>
      </c>
      <c r="F7" s="1" t="s">
        <v>13</v>
      </c>
      <c r="G7" s="12">
        <f>'2025'!E7</f>
        <v>0</v>
      </c>
      <c r="H7" s="12">
        <f>'2024'!E7</f>
        <v>0</v>
      </c>
      <c r="I7" s="10">
        <f>'2023'!E7</f>
        <v>0</v>
      </c>
    </row>
    <row r="8" spans="2:9" x14ac:dyDescent="0.35">
      <c r="B8" s="1" t="s">
        <v>15</v>
      </c>
      <c r="C8" s="12">
        <f>'2025'!C8</f>
        <v>0</v>
      </c>
      <c r="D8" s="12">
        <f>'2024'!C8</f>
        <v>0</v>
      </c>
      <c r="E8" s="10">
        <f>'2023'!C8</f>
        <v>0</v>
      </c>
      <c r="F8" s="1" t="s">
        <v>16</v>
      </c>
      <c r="G8" s="12">
        <f>'2025'!E8</f>
        <v>0</v>
      </c>
      <c r="H8" s="12">
        <f>'2024'!E8</f>
        <v>0</v>
      </c>
      <c r="I8" s="10">
        <f>'2023'!E8</f>
        <v>0</v>
      </c>
    </row>
    <row r="9" spans="2:9" x14ac:dyDescent="0.35">
      <c r="B9" s="1" t="s">
        <v>17</v>
      </c>
      <c r="C9" s="12">
        <f>'2025'!C9</f>
        <v>0</v>
      </c>
      <c r="D9" s="12">
        <f>'2024'!C9</f>
        <v>0</v>
      </c>
      <c r="E9" s="10">
        <f>'2023'!C9</f>
        <v>0</v>
      </c>
      <c r="F9" s="1" t="s">
        <v>18</v>
      </c>
      <c r="G9" s="12">
        <f>'2025'!E9</f>
        <v>0</v>
      </c>
      <c r="H9" s="12">
        <f>'2024'!E9</f>
        <v>0</v>
      </c>
      <c r="I9" s="10">
        <f>'2023'!E9</f>
        <v>0</v>
      </c>
    </row>
    <row r="10" spans="2:9" x14ac:dyDescent="0.35">
      <c r="B10" s="1" t="s">
        <v>20</v>
      </c>
      <c r="C10" s="12">
        <f>'2025'!C10</f>
        <v>0</v>
      </c>
      <c r="D10" s="12">
        <f>'2024'!C10</f>
        <v>0</v>
      </c>
      <c r="E10" s="10">
        <f>'2023'!C10</f>
        <v>0</v>
      </c>
      <c r="F10" s="1" t="s">
        <v>21</v>
      </c>
      <c r="G10" s="12">
        <f>'2025'!E10</f>
        <v>0</v>
      </c>
      <c r="H10" s="12">
        <f>'2024'!E10</f>
        <v>0</v>
      </c>
      <c r="I10" s="10">
        <f>'2023'!E10</f>
        <v>0</v>
      </c>
    </row>
    <row r="11" spans="2:9" x14ac:dyDescent="0.35">
      <c r="B11" s="1" t="s">
        <v>22</v>
      </c>
      <c r="C11" s="12">
        <f>'2025'!C11</f>
        <v>0</v>
      </c>
      <c r="D11" s="12">
        <f>'2024'!C11</f>
        <v>0</v>
      </c>
      <c r="E11" s="10">
        <f>'2023'!C11</f>
        <v>0</v>
      </c>
      <c r="F11" s="1" t="s">
        <v>23</v>
      </c>
      <c r="G11" s="12">
        <f>'2025'!E11</f>
        <v>0</v>
      </c>
      <c r="H11" s="12">
        <f>'2024'!E11</f>
        <v>0</v>
      </c>
      <c r="I11" s="10">
        <f>'2023'!E11</f>
        <v>0</v>
      </c>
    </row>
    <row r="12" spans="2:9" x14ac:dyDescent="0.35">
      <c r="B12" s="1" t="s">
        <v>25</v>
      </c>
      <c r="C12" s="12">
        <f>'2025'!C12</f>
        <v>0</v>
      </c>
      <c r="D12" s="12">
        <f>'2024'!C12</f>
        <v>0</v>
      </c>
      <c r="E12" s="10">
        <f>'2023'!C12</f>
        <v>0</v>
      </c>
      <c r="F12" s="1" t="s">
        <v>26</v>
      </c>
      <c r="G12" s="12">
        <f>'2025'!E12</f>
        <v>0</v>
      </c>
      <c r="H12" s="12">
        <f>'2024'!E12</f>
        <v>0</v>
      </c>
      <c r="I12" s="10">
        <f>'2023'!E12</f>
        <v>0</v>
      </c>
    </row>
    <row r="13" spans="2:9" x14ac:dyDescent="0.35">
      <c r="B13" s="1" t="s">
        <v>28</v>
      </c>
      <c r="C13" s="12">
        <f>'2025'!C13</f>
        <v>0</v>
      </c>
      <c r="D13" s="12">
        <f>'2024'!C13</f>
        <v>0</v>
      </c>
      <c r="E13" s="10">
        <f>'2023'!C13</f>
        <v>0</v>
      </c>
      <c r="F13" s="1" t="s">
        <v>29</v>
      </c>
      <c r="G13" s="12">
        <f>'2025'!E13</f>
        <v>0</v>
      </c>
      <c r="H13" s="12">
        <f>'2024'!E13</f>
        <v>0</v>
      </c>
      <c r="I13" s="10">
        <f>'2023'!E13</f>
        <v>0</v>
      </c>
    </row>
    <row r="14" spans="2:9" ht="15.75" customHeight="1" x14ac:dyDescent="0.35">
      <c r="B14" s="1" t="s">
        <v>31</v>
      </c>
      <c r="C14" s="12">
        <f>'2025'!C14</f>
        <v>0</v>
      </c>
      <c r="D14" s="12">
        <f>'2024'!C14</f>
        <v>0</v>
      </c>
      <c r="E14" s="10">
        <f>'2023'!C14</f>
        <v>0</v>
      </c>
      <c r="F14" s="4" t="s">
        <v>32</v>
      </c>
      <c r="G14" s="12">
        <f>'2025'!E14</f>
        <v>0</v>
      </c>
      <c r="H14" s="12">
        <f>'2024'!E14</f>
        <v>0</v>
      </c>
      <c r="I14" s="10">
        <f>'2023'!E14</f>
        <v>0</v>
      </c>
    </row>
    <row r="15" spans="2:9" x14ac:dyDescent="0.35">
      <c r="B15" s="1" t="s">
        <v>34</v>
      </c>
      <c r="C15" s="12">
        <f>'2025'!C15</f>
        <v>0</v>
      </c>
      <c r="D15" s="12">
        <f>'2024'!C15</f>
        <v>0</v>
      </c>
      <c r="E15" s="10">
        <f>'2023'!C15</f>
        <v>0</v>
      </c>
      <c r="F15" s="126" t="s">
        <v>35</v>
      </c>
      <c r="G15" s="130">
        <f>SUM(G4:G14)</f>
        <v>0</v>
      </c>
      <c r="H15" s="119">
        <f>SUM(H4:H14)</f>
        <v>0</v>
      </c>
      <c r="I15" s="119">
        <f>SUM(I4:I14)</f>
        <v>0</v>
      </c>
    </row>
    <row r="16" spans="2:9" x14ac:dyDescent="0.35">
      <c r="B16" s="1" t="s">
        <v>36</v>
      </c>
      <c r="C16" s="12">
        <f>'2025'!C16</f>
        <v>0</v>
      </c>
      <c r="D16" s="12">
        <f>'2024'!C16</f>
        <v>0</v>
      </c>
      <c r="E16" s="10">
        <f>'2023'!C16</f>
        <v>0</v>
      </c>
      <c r="F16" s="129"/>
      <c r="G16" s="131"/>
      <c r="H16" s="120"/>
      <c r="I16" s="120"/>
    </row>
    <row r="17" spans="2:9" ht="15.75" customHeight="1" x14ac:dyDescent="0.35">
      <c r="B17" s="1" t="s">
        <v>38</v>
      </c>
      <c r="C17" s="12">
        <f>'2025'!C17</f>
        <v>0</v>
      </c>
      <c r="D17" s="12">
        <f>'2024'!C17</f>
        <v>0</v>
      </c>
      <c r="E17" s="10">
        <f>'2023'!C17</f>
        <v>0</v>
      </c>
      <c r="F17" s="127"/>
      <c r="G17" s="132"/>
      <c r="H17" s="121"/>
      <c r="I17" s="121"/>
    </row>
    <row r="18" spans="2:9" x14ac:dyDescent="0.35">
      <c r="B18" s="1" t="s">
        <v>40</v>
      </c>
      <c r="C18" s="12">
        <f>'2025'!C18</f>
        <v>0</v>
      </c>
      <c r="D18" s="12">
        <f>'2024'!C18</f>
        <v>0</v>
      </c>
      <c r="E18" s="10">
        <f>'2023'!C18</f>
        <v>0</v>
      </c>
      <c r="F18" s="5" t="s">
        <v>41</v>
      </c>
      <c r="G18" s="19">
        <f>'2025'!E18</f>
        <v>0</v>
      </c>
      <c r="H18" s="19">
        <f>'2024'!E18</f>
        <v>0</v>
      </c>
      <c r="I18" s="20">
        <f>'2023'!E18</f>
        <v>0</v>
      </c>
    </row>
    <row r="19" spans="2:9" x14ac:dyDescent="0.35">
      <c r="B19" s="1" t="s">
        <v>42</v>
      </c>
      <c r="C19" s="12">
        <f>'2025'!C19</f>
        <v>0</v>
      </c>
      <c r="D19" s="12">
        <f>'2024'!C19</f>
        <v>0</v>
      </c>
      <c r="E19" s="10">
        <f>'2023'!C19</f>
        <v>0</v>
      </c>
      <c r="F19" s="1" t="s">
        <v>43</v>
      </c>
      <c r="G19" s="12">
        <f>'2025'!E19</f>
        <v>0</v>
      </c>
      <c r="H19" s="12">
        <f>'2024'!E19</f>
        <v>0</v>
      </c>
      <c r="I19" s="10">
        <f>'2023'!E19</f>
        <v>0</v>
      </c>
    </row>
    <row r="20" spans="2:9" x14ac:dyDescent="0.35">
      <c r="B20" s="1" t="s">
        <v>44</v>
      </c>
      <c r="C20" s="12">
        <f>'2025'!C20</f>
        <v>0</v>
      </c>
      <c r="D20" s="12">
        <f>'2024'!C20</f>
        <v>0</v>
      </c>
      <c r="E20" s="10">
        <f>'2023'!C20</f>
        <v>0</v>
      </c>
      <c r="F20" s="1" t="s">
        <v>45</v>
      </c>
      <c r="G20" s="12">
        <f>'2025'!E20</f>
        <v>0</v>
      </c>
      <c r="H20" s="12">
        <f>'2024'!E20</f>
        <v>0</v>
      </c>
      <c r="I20" s="10">
        <f>'2023'!E20</f>
        <v>0</v>
      </c>
    </row>
    <row r="21" spans="2:9" x14ac:dyDescent="0.35">
      <c r="B21" s="1" t="s">
        <v>46</v>
      </c>
      <c r="C21" s="12">
        <f>'2025'!C21</f>
        <v>0</v>
      </c>
      <c r="D21" s="12">
        <f>'2024'!C21</f>
        <v>0</v>
      </c>
      <c r="E21" s="10">
        <f>'2023'!C21</f>
        <v>0</v>
      </c>
      <c r="F21" s="1" t="s">
        <v>47</v>
      </c>
      <c r="G21" s="12">
        <f>'2025'!E21</f>
        <v>0</v>
      </c>
      <c r="H21" s="12">
        <f>'2024'!E21</f>
        <v>0</v>
      </c>
      <c r="I21" s="10">
        <f>'2023'!E21</f>
        <v>0</v>
      </c>
    </row>
    <row r="22" spans="2:9" x14ac:dyDescent="0.35">
      <c r="B22" s="1" t="s">
        <v>48</v>
      </c>
      <c r="C22" s="12">
        <f>'2025'!C22</f>
        <v>0</v>
      </c>
      <c r="D22" s="12">
        <f>'2024'!C22</f>
        <v>0</v>
      </c>
      <c r="E22" s="10">
        <f>'2023'!C22</f>
        <v>0</v>
      </c>
      <c r="F22" s="1" t="s">
        <v>49</v>
      </c>
      <c r="G22" s="12">
        <f>'2025'!E22</f>
        <v>0</v>
      </c>
      <c r="H22" s="12">
        <f>'2024'!E22</f>
        <v>0</v>
      </c>
      <c r="I22" s="10">
        <f>'2023'!E22</f>
        <v>0</v>
      </c>
    </row>
    <row r="23" spans="2:9" x14ac:dyDescent="0.35">
      <c r="B23" s="1" t="s">
        <v>50</v>
      </c>
      <c r="C23" s="12">
        <f>'2025'!C23</f>
        <v>0</v>
      </c>
      <c r="D23" s="12">
        <f>'2024'!C23</f>
        <v>0</v>
      </c>
      <c r="E23" s="10">
        <f>'2023'!C23</f>
        <v>0</v>
      </c>
      <c r="F23" s="1" t="s">
        <v>51</v>
      </c>
      <c r="G23" s="12">
        <f>'2025'!E23</f>
        <v>0</v>
      </c>
      <c r="H23" s="12">
        <f>'2024'!E23</f>
        <v>0</v>
      </c>
      <c r="I23" s="10">
        <f>'2023'!E23</f>
        <v>0</v>
      </c>
    </row>
    <row r="24" spans="2:9" x14ac:dyDescent="0.35">
      <c r="B24" s="1" t="s">
        <v>52</v>
      </c>
      <c r="C24" s="12">
        <f>'2025'!C24</f>
        <v>0</v>
      </c>
      <c r="D24" s="12">
        <f>'2024'!C24</f>
        <v>0</v>
      </c>
      <c r="E24" s="10">
        <f>'2023'!C24</f>
        <v>0</v>
      </c>
      <c r="F24" s="1" t="s">
        <v>53</v>
      </c>
      <c r="G24" s="12">
        <f>'2025'!E24</f>
        <v>0</v>
      </c>
      <c r="H24" s="12">
        <f>'2024'!E24</f>
        <v>0</v>
      </c>
      <c r="I24" s="10">
        <f>'2023'!E24</f>
        <v>0</v>
      </c>
    </row>
    <row r="25" spans="2:9" x14ac:dyDescent="0.35">
      <c r="B25" s="1" t="s">
        <v>54</v>
      </c>
      <c r="C25" s="12">
        <f>'2025'!C25</f>
        <v>0</v>
      </c>
      <c r="D25" s="12">
        <f>'2024'!C25</f>
        <v>0</v>
      </c>
      <c r="E25" s="10">
        <f>'2023'!C25</f>
        <v>0</v>
      </c>
      <c r="F25" s="1" t="s">
        <v>55</v>
      </c>
      <c r="G25" s="12">
        <f>'2025'!E25</f>
        <v>0</v>
      </c>
      <c r="H25" s="12">
        <f>'2024'!E25</f>
        <v>0</v>
      </c>
      <c r="I25" s="10">
        <f>'2023'!E25</f>
        <v>0</v>
      </c>
    </row>
    <row r="26" spans="2:9" x14ac:dyDescent="0.35">
      <c r="B26" s="1" t="s">
        <v>56</v>
      </c>
      <c r="C26" s="12">
        <f>'2025'!C26</f>
        <v>0</v>
      </c>
      <c r="D26" s="12">
        <f>'2024'!C26</f>
        <v>0</v>
      </c>
      <c r="E26" s="10">
        <f>'2023'!C26</f>
        <v>0</v>
      </c>
      <c r="F26" s="1" t="s">
        <v>57</v>
      </c>
      <c r="G26" s="12">
        <f>'2025'!E26</f>
        <v>0</v>
      </c>
      <c r="H26" s="12">
        <f>'2024'!E26</f>
        <v>0</v>
      </c>
      <c r="I26" s="10">
        <f>'2023'!E26</f>
        <v>0</v>
      </c>
    </row>
    <row r="27" spans="2:9" x14ac:dyDescent="0.35">
      <c r="B27" s="1" t="s">
        <v>58</v>
      </c>
      <c r="C27" s="12">
        <f>'2025'!C27</f>
        <v>0</v>
      </c>
      <c r="D27" s="12">
        <f>'2024'!C27</f>
        <v>0</v>
      </c>
      <c r="E27" s="10">
        <f>'2023'!C27</f>
        <v>0</v>
      </c>
      <c r="F27" s="1" t="s">
        <v>59</v>
      </c>
      <c r="G27" s="12">
        <f>'2025'!E27</f>
        <v>0</v>
      </c>
      <c r="H27" s="12">
        <f>'2024'!E27</f>
        <v>0</v>
      </c>
      <c r="I27" s="10">
        <f>'2023'!E27</f>
        <v>0</v>
      </c>
    </row>
    <row r="28" spans="2:9" ht="15.75" customHeight="1" thickBot="1" x14ac:dyDescent="0.4">
      <c r="B28" s="1" t="s">
        <v>60</v>
      </c>
      <c r="C28" s="12">
        <f>'2025'!C28</f>
        <v>0</v>
      </c>
      <c r="D28" s="12">
        <f>'2024'!C28</f>
        <v>0</v>
      </c>
      <c r="E28" s="10">
        <f>'2023'!C28</f>
        <v>0</v>
      </c>
      <c r="F28" s="4" t="s">
        <v>61</v>
      </c>
      <c r="G28" s="12">
        <f>'2025'!E28</f>
        <v>0</v>
      </c>
      <c r="H28" s="12">
        <f>'2024'!E28</f>
        <v>0</v>
      </c>
      <c r="I28" s="10">
        <f>'2023'!E28</f>
        <v>0</v>
      </c>
    </row>
    <row r="29" spans="2:9" x14ac:dyDescent="0.35">
      <c r="B29" s="1" t="s">
        <v>62</v>
      </c>
      <c r="C29" s="12">
        <f>'2025'!C29</f>
        <v>0</v>
      </c>
      <c r="D29" s="12">
        <f>'2024'!C29</f>
        <v>0</v>
      </c>
      <c r="E29" s="10">
        <f>'2023'!C29</f>
        <v>0</v>
      </c>
      <c r="F29" s="122" t="s">
        <v>63</v>
      </c>
      <c r="G29" s="119">
        <f>SUM(G18:G28)</f>
        <v>0</v>
      </c>
      <c r="H29" s="119">
        <f>SUM(H18:H28)</f>
        <v>0</v>
      </c>
      <c r="I29" s="119">
        <f>SUM(I18:I28)</f>
        <v>0</v>
      </c>
    </row>
    <row r="30" spans="2:9" x14ac:dyDescent="0.35">
      <c r="B30" s="1" t="s">
        <v>64</v>
      </c>
      <c r="C30" s="12">
        <f>'2025'!C30</f>
        <v>0</v>
      </c>
      <c r="D30" s="12">
        <f>'2024'!C30</f>
        <v>0</v>
      </c>
      <c r="E30" s="10">
        <f>'2023'!C30</f>
        <v>0</v>
      </c>
      <c r="F30" s="117"/>
      <c r="G30" s="120"/>
      <c r="H30" s="120"/>
      <c r="I30" s="120"/>
    </row>
    <row r="31" spans="2:9" ht="15.75" customHeight="1" thickBot="1" x14ac:dyDescent="0.4">
      <c r="B31" s="1" t="s">
        <v>65</v>
      </c>
      <c r="C31" s="12">
        <f>'2025'!C31</f>
        <v>0</v>
      </c>
      <c r="D31" s="12">
        <f>'2024'!C31</f>
        <v>0</v>
      </c>
      <c r="E31" s="10">
        <f>'2023'!C31</f>
        <v>0</v>
      </c>
      <c r="F31" s="118"/>
      <c r="G31" s="121"/>
      <c r="H31" s="121"/>
      <c r="I31" s="121"/>
    </row>
    <row r="32" spans="2:9" x14ac:dyDescent="0.35">
      <c r="B32" s="1" t="s">
        <v>66</v>
      </c>
      <c r="C32" s="12">
        <f>'2025'!C32</f>
        <v>0</v>
      </c>
      <c r="D32" s="12">
        <f>'2024'!C32</f>
        <v>0</v>
      </c>
      <c r="E32" s="10">
        <f>'2023'!C32</f>
        <v>0</v>
      </c>
      <c r="F32" s="122" t="s">
        <v>67</v>
      </c>
      <c r="G32" s="123">
        <f>+G29+G15</f>
        <v>0</v>
      </c>
      <c r="H32" s="123">
        <f>+H29+H15</f>
        <v>0</v>
      </c>
      <c r="I32" s="119">
        <f>+I29+I15</f>
        <v>0</v>
      </c>
    </row>
    <row r="33" spans="2:9" x14ac:dyDescent="0.35">
      <c r="B33" s="1" t="s">
        <v>68</v>
      </c>
      <c r="C33" s="12">
        <f>'2025'!C33</f>
        <v>0</v>
      </c>
      <c r="D33" s="12">
        <f>'2024'!C33</f>
        <v>0</v>
      </c>
      <c r="E33" s="10">
        <f>'2023'!C33</f>
        <v>0</v>
      </c>
      <c r="F33" s="117"/>
      <c r="G33" s="124"/>
      <c r="H33" s="124"/>
      <c r="I33" s="120"/>
    </row>
    <row r="34" spans="2:9" ht="15.75" customHeight="1" thickBot="1" x14ac:dyDescent="0.4">
      <c r="B34" s="4" t="s">
        <v>69</v>
      </c>
      <c r="C34" s="12">
        <f>'2025'!C34</f>
        <v>0</v>
      </c>
      <c r="D34" s="12">
        <f>'2024'!C34</f>
        <v>0</v>
      </c>
      <c r="E34" s="10">
        <f>'2023'!C34</f>
        <v>0</v>
      </c>
      <c r="F34" s="117"/>
      <c r="G34" s="124"/>
      <c r="H34" s="124"/>
      <c r="I34" s="120"/>
    </row>
    <row r="35" spans="2:9" x14ac:dyDescent="0.35">
      <c r="B35" s="126" t="s">
        <v>70</v>
      </c>
      <c r="C35" s="130">
        <f>SUM(C4:C34)</f>
        <v>0</v>
      </c>
      <c r="D35" s="119">
        <f>SUM(D4:D34)</f>
        <v>0</v>
      </c>
      <c r="E35" s="119">
        <f>SUM(E4:E34)</f>
        <v>0</v>
      </c>
      <c r="F35" s="117"/>
      <c r="G35" s="124"/>
      <c r="H35" s="124"/>
      <c r="I35" s="120"/>
    </row>
    <row r="36" spans="2:9" ht="15.75" customHeight="1" x14ac:dyDescent="0.35">
      <c r="B36" s="127"/>
      <c r="C36" s="132"/>
      <c r="D36" s="121"/>
      <c r="E36" s="121"/>
      <c r="F36" s="118"/>
      <c r="G36" s="125"/>
      <c r="H36" s="125"/>
      <c r="I36" s="121"/>
    </row>
    <row r="37" spans="2:9" x14ac:dyDescent="0.35">
      <c r="G37" s="112">
        <f>+C35-G32</f>
        <v>0</v>
      </c>
      <c r="H37" s="112">
        <f t="shared" ref="H37:I37" si="0">+D35-H32</f>
        <v>0</v>
      </c>
      <c r="I37" s="112">
        <f t="shared" si="0"/>
        <v>0</v>
      </c>
    </row>
    <row r="38" spans="2:9" x14ac:dyDescent="0.35">
      <c r="G38" s="48"/>
    </row>
    <row r="40" spans="2:9" ht="15.75" customHeight="1" x14ac:dyDescent="0.35">
      <c r="B40" s="48"/>
      <c r="C40" s="48"/>
      <c r="D40" s="48"/>
      <c r="E40" s="48"/>
      <c r="F40" s="64"/>
      <c r="G40" s="65">
        <v>2025</v>
      </c>
      <c r="H40" s="65">
        <v>2024</v>
      </c>
      <c r="I40" s="65">
        <v>2023</v>
      </c>
    </row>
    <row r="41" spans="2:9" ht="15.75" customHeight="1" x14ac:dyDescent="0.35">
      <c r="B41" s="14" t="s">
        <v>71</v>
      </c>
      <c r="C41" s="9">
        <v>2025</v>
      </c>
      <c r="D41" s="8">
        <v>2024</v>
      </c>
      <c r="E41" s="18">
        <v>2023</v>
      </c>
      <c r="F41" s="64" t="s">
        <v>2</v>
      </c>
      <c r="G41" s="11">
        <f>+VENTAS_24</f>
        <v>0</v>
      </c>
      <c r="H41" s="11">
        <f>+VENTAS_23</f>
        <v>0</v>
      </c>
      <c r="I41" s="12">
        <f>+VENTAS_22</f>
        <v>0</v>
      </c>
    </row>
    <row r="42" spans="2:9" x14ac:dyDescent="0.35">
      <c r="B42" s="3" t="s">
        <v>72</v>
      </c>
      <c r="C42" s="10">
        <f>'2025'!C42</f>
        <v>0</v>
      </c>
      <c r="D42" s="10">
        <f>'2024'!C42</f>
        <v>0</v>
      </c>
      <c r="E42" s="10">
        <f>'2023'!C42</f>
        <v>0</v>
      </c>
      <c r="F42" s="64" t="s">
        <v>6</v>
      </c>
      <c r="G42" s="11">
        <f>+UTI_24</f>
        <v>0</v>
      </c>
      <c r="H42" s="11">
        <f>+UTI_23</f>
        <v>0</v>
      </c>
      <c r="I42" s="12">
        <f>+UTI_22</f>
        <v>0</v>
      </c>
    </row>
    <row r="43" spans="2:9" x14ac:dyDescent="0.35">
      <c r="B43" s="1" t="s">
        <v>73</v>
      </c>
      <c r="C43" s="10">
        <f>+'2025'!C43</f>
        <v>0</v>
      </c>
      <c r="D43" s="10">
        <f>+'2024'!C43</f>
        <v>0</v>
      </c>
      <c r="E43" s="10">
        <f>+'2023'!C43</f>
        <v>0</v>
      </c>
      <c r="F43" s="64"/>
      <c r="G43" s="48"/>
      <c r="H43" s="48"/>
      <c r="I43" s="48"/>
    </row>
    <row r="44" spans="2:9" x14ac:dyDescent="0.35">
      <c r="B44" s="1" t="s">
        <v>74</v>
      </c>
      <c r="C44" s="16">
        <f>+SUM(C42:C43)</f>
        <v>0</v>
      </c>
      <c r="D44" s="16">
        <f>+SUM(D42:D43)</f>
        <v>0</v>
      </c>
      <c r="E44" s="16">
        <f>+SUM(E42:E43)</f>
        <v>0</v>
      </c>
      <c r="F44" s="64" t="s">
        <v>24</v>
      </c>
      <c r="G44" s="66">
        <f>SUM(C4:C23)</f>
        <v>0</v>
      </c>
      <c r="H44" s="66">
        <f>SUM(D4:D23)</f>
        <v>0</v>
      </c>
      <c r="I44" s="66">
        <f>SUM(E4:E23)</f>
        <v>0</v>
      </c>
    </row>
    <row r="45" spans="2:9" x14ac:dyDescent="0.35">
      <c r="B45" s="1" t="s">
        <v>75</v>
      </c>
      <c r="C45" s="10">
        <f>'2025'!C45</f>
        <v>0</v>
      </c>
      <c r="D45" s="10">
        <f>'2024'!C45</f>
        <v>0</v>
      </c>
      <c r="E45" s="10">
        <f>'2023'!C45</f>
        <v>0</v>
      </c>
      <c r="F45" s="64"/>
      <c r="G45" s="15">
        <f>SUM(G4:G11)</f>
        <v>0</v>
      </c>
      <c r="H45" s="15">
        <f>SUM(H4:H11)</f>
        <v>0</v>
      </c>
      <c r="I45" s="15">
        <f>SUM(I4:I11)</f>
        <v>0</v>
      </c>
    </row>
    <row r="46" spans="2:9" x14ac:dyDescent="0.35">
      <c r="B46" s="1" t="s">
        <v>76</v>
      </c>
      <c r="C46" s="17">
        <f>+IF(SUM(C44:C45)&lt;0,0,SUM(C44:C45))</f>
        <v>0</v>
      </c>
      <c r="D46" s="17">
        <f>+IF(SUM(D44:D45)&lt;0,0,SUM(D44:D45))</f>
        <v>0</v>
      </c>
      <c r="E46" s="17">
        <f>+IF(SUM(E44:E45)&lt;0,0,SUM(E44:E45))</f>
        <v>0</v>
      </c>
      <c r="F46" s="64"/>
      <c r="G46" s="48"/>
      <c r="H46" s="48"/>
      <c r="I46" s="48"/>
    </row>
    <row r="47" spans="2:9" x14ac:dyDescent="0.35">
      <c r="B47" s="1" t="s">
        <v>77</v>
      </c>
      <c r="C47" s="17">
        <f>+IF(SUM(C44:C45)&lt;0,SUM(C44:C45),0)</f>
        <v>0</v>
      </c>
      <c r="D47" s="17">
        <f>+IF(SUM(D44:D45)&lt;0,SUM(D44:D45),0)</f>
        <v>0</v>
      </c>
      <c r="E47" s="17">
        <f>+IF(SUM(E44:E45)&lt;0,SUM(E44:E45),0)</f>
        <v>0</v>
      </c>
      <c r="F47" s="64" t="s">
        <v>102</v>
      </c>
      <c r="G47" s="66">
        <f>SUM(C4:C12)</f>
        <v>0</v>
      </c>
      <c r="H47" s="66">
        <f>SUM(D4:D12)</f>
        <v>0</v>
      </c>
      <c r="I47" s="66">
        <f>SUM(E4:E12)</f>
        <v>0</v>
      </c>
    </row>
    <row r="48" spans="2:9" x14ac:dyDescent="0.35">
      <c r="B48" s="1" t="s">
        <v>78</v>
      </c>
      <c r="C48" s="10">
        <f>'2025'!C48</f>
        <v>0</v>
      </c>
      <c r="D48" s="10">
        <f>'2024'!C48</f>
        <v>0</v>
      </c>
      <c r="E48" s="10">
        <f>'2023'!C48</f>
        <v>0</v>
      </c>
      <c r="F48" s="64"/>
      <c r="G48" s="15">
        <f>+SUM(G4:G14)</f>
        <v>0</v>
      </c>
      <c r="H48" s="15">
        <f>+SUM(H4:H14)</f>
        <v>0</v>
      </c>
      <c r="I48" s="15">
        <f>+SUM(I4:I14)</f>
        <v>0</v>
      </c>
    </row>
    <row r="49" spans="2:9" x14ac:dyDescent="0.35">
      <c r="B49" s="1" t="s">
        <v>79</v>
      </c>
      <c r="C49" s="10">
        <f>'2025'!C49</f>
        <v>0</v>
      </c>
      <c r="D49" s="10">
        <f>'2024'!C49</f>
        <v>0</v>
      </c>
      <c r="E49" s="10">
        <f>'2023'!C49</f>
        <v>0</v>
      </c>
      <c r="F49" s="64"/>
      <c r="G49" s="48"/>
      <c r="H49" s="48"/>
      <c r="I49" s="48"/>
    </row>
    <row r="50" spans="2:9" x14ac:dyDescent="0.35">
      <c r="B50" s="1" t="s">
        <v>80</v>
      </c>
      <c r="C50" s="17">
        <f>IF(SUM(C46:C49)&lt;0,0,SUM(C46:C49))</f>
        <v>0</v>
      </c>
      <c r="D50" s="17">
        <f>IF(SUM(D46:D49)&lt;0,0,SUM(D46:D49))</f>
        <v>0</v>
      </c>
      <c r="E50" s="17">
        <f>IF(SUM(E46:E49)&lt;0,0,SUM(E46:E49))</f>
        <v>0</v>
      </c>
      <c r="F50" s="64" t="s">
        <v>103</v>
      </c>
      <c r="G50" s="15">
        <f>+PASIV_24</f>
        <v>0</v>
      </c>
      <c r="H50" s="15">
        <f>+PASIV_23</f>
        <v>0</v>
      </c>
      <c r="I50" s="15">
        <f>+PASIV_22</f>
        <v>0</v>
      </c>
    </row>
    <row r="51" spans="2:9" x14ac:dyDescent="0.35">
      <c r="B51" s="1" t="s">
        <v>81</v>
      </c>
      <c r="C51" s="17">
        <f>IF(SUM(C46:C49)&lt;=0,SUM(C46:C49),0)</f>
        <v>0</v>
      </c>
      <c r="D51" s="17">
        <f>IF(SUM(D46:D49)&lt;=0,SUM(D46:D49),0)</f>
        <v>0</v>
      </c>
      <c r="E51" s="17">
        <f>IF(SUM(E46:E49)&lt;=0,SUM(E46:E49),0)</f>
        <v>0</v>
      </c>
      <c r="F51" s="64"/>
      <c r="G51" s="67">
        <f>+PATRI_24</f>
        <v>0</v>
      </c>
      <c r="H51" s="67">
        <f>+PATRI_23</f>
        <v>0</v>
      </c>
      <c r="I51" s="67">
        <f>+PATRIM_22</f>
        <v>0</v>
      </c>
    </row>
    <row r="52" spans="2:9" x14ac:dyDescent="0.35">
      <c r="B52" s="1" t="s">
        <v>82</v>
      </c>
      <c r="C52" s="10">
        <f>'2025'!C52</f>
        <v>0</v>
      </c>
      <c r="D52" s="10">
        <f>'2024'!C52</f>
        <v>0</v>
      </c>
      <c r="E52" s="10">
        <f>'2023'!C52</f>
        <v>0</v>
      </c>
      <c r="F52" s="64"/>
      <c r="G52" s="48"/>
      <c r="H52" s="48"/>
      <c r="I52" s="48"/>
    </row>
    <row r="53" spans="2:9" x14ac:dyDescent="0.35">
      <c r="B53" s="1" t="s">
        <v>83</v>
      </c>
      <c r="C53" s="10">
        <f>'2025'!C53</f>
        <v>0</v>
      </c>
      <c r="D53" s="10">
        <f>+'2024'!C53</f>
        <v>0</v>
      </c>
      <c r="E53" s="10">
        <f>'2023'!C53</f>
        <v>0</v>
      </c>
      <c r="F53" s="64"/>
      <c r="G53" s="48"/>
      <c r="H53" s="48"/>
      <c r="I53" s="48"/>
    </row>
    <row r="54" spans="2:9" x14ac:dyDescent="0.35">
      <c r="B54" s="1" t="s">
        <v>84</v>
      </c>
      <c r="C54" s="10">
        <f>'2025'!C54</f>
        <v>0</v>
      </c>
      <c r="D54" s="10">
        <f>'2024'!C54</f>
        <v>0</v>
      </c>
      <c r="E54" s="10">
        <f>'2023'!C54</f>
        <v>0</v>
      </c>
      <c r="F54" s="65" t="s">
        <v>104</v>
      </c>
      <c r="G54" s="65">
        <v>2025</v>
      </c>
      <c r="H54" s="65">
        <v>2024</v>
      </c>
      <c r="I54" s="65">
        <v>2023</v>
      </c>
    </row>
    <row r="55" spans="2:9" x14ac:dyDescent="0.35">
      <c r="B55" s="1" t="s">
        <v>85</v>
      </c>
      <c r="C55" s="10">
        <f>'2025'!C55</f>
        <v>0</v>
      </c>
      <c r="D55" s="10">
        <f>+'2024'!C55</f>
        <v>0</v>
      </c>
      <c r="E55" s="10">
        <f>'2023'!C55</f>
        <v>0</v>
      </c>
      <c r="F55" s="64" t="s">
        <v>24</v>
      </c>
      <c r="G55" s="68">
        <f>IFERROR(G44/G45,0)</f>
        <v>0</v>
      </c>
      <c r="H55" s="68">
        <f>IFERROR(H44/H45,0)</f>
        <v>0</v>
      </c>
      <c r="I55" s="68">
        <f>IFERROR(I44/I45,0)</f>
        <v>0</v>
      </c>
    </row>
    <row r="56" spans="2:9" x14ac:dyDescent="0.35">
      <c r="B56" s="1" t="s">
        <v>86</v>
      </c>
      <c r="C56" s="10">
        <f>'2025'!C56</f>
        <v>0</v>
      </c>
      <c r="D56" s="10">
        <f>+'2024'!C56</f>
        <v>0</v>
      </c>
      <c r="E56" s="10">
        <f>'2023'!C56</f>
        <v>0</v>
      </c>
      <c r="F56" s="64"/>
      <c r="G56" s="48"/>
      <c r="H56" s="48"/>
      <c r="I56" s="48"/>
    </row>
    <row r="57" spans="2:9" x14ac:dyDescent="0.35">
      <c r="B57" s="1" t="s">
        <v>87</v>
      </c>
      <c r="C57" s="10">
        <f>'2025'!C57</f>
        <v>0</v>
      </c>
      <c r="D57" s="10">
        <f>+'2024'!C57</f>
        <v>0</v>
      </c>
      <c r="E57" s="10">
        <f>'2023'!C57</f>
        <v>0</v>
      </c>
      <c r="F57" s="64" t="s">
        <v>102</v>
      </c>
      <c r="G57" s="68">
        <f>IFERROR(G47/G48,0)</f>
        <v>0</v>
      </c>
      <c r="H57" s="68">
        <f>IFERROR(H47/H48,0)</f>
        <v>0</v>
      </c>
      <c r="I57" s="68">
        <f>IFERROR(I47/I48,0)</f>
        <v>0</v>
      </c>
    </row>
    <row r="58" spans="2:9" x14ac:dyDescent="0.35">
      <c r="B58" s="1" t="s">
        <v>88</v>
      </c>
      <c r="C58" s="10">
        <f>'2025'!C58</f>
        <v>0</v>
      </c>
      <c r="D58" s="10">
        <f>+'2024'!C58</f>
        <v>0</v>
      </c>
      <c r="E58" s="10">
        <f>'2023'!C58</f>
        <v>0</v>
      </c>
      <c r="F58" s="64"/>
      <c r="G58" s="48"/>
      <c r="H58" s="48"/>
      <c r="I58" s="48"/>
    </row>
    <row r="59" spans="2:9" x14ac:dyDescent="0.35">
      <c r="B59" s="1" t="s">
        <v>89</v>
      </c>
      <c r="C59" s="10">
        <f>'2025'!C59</f>
        <v>0</v>
      </c>
      <c r="D59" s="10">
        <v>0</v>
      </c>
      <c r="E59" s="10">
        <f>'2023'!C59</f>
        <v>0</v>
      </c>
      <c r="F59" s="64" t="s">
        <v>103</v>
      </c>
      <c r="G59" s="68">
        <f>IFERROR(G50/G51,0)</f>
        <v>0</v>
      </c>
      <c r="H59" s="68">
        <f>IFERROR(H50/H51,0)</f>
        <v>0</v>
      </c>
      <c r="I59" s="68">
        <f>IFERROR(I50/I51,0)</f>
        <v>0</v>
      </c>
    </row>
    <row r="60" spans="2:9" x14ac:dyDescent="0.35">
      <c r="B60" s="1" t="s">
        <v>90</v>
      </c>
      <c r="C60" s="10">
        <f>'2025'!C60</f>
        <v>0</v>
      </c>
      <c r="D60" s="10">
        <v>0</v>
      </c>
      <c r="E60" s="10">
        <f>'2023'!C60</f>
        <v>0</v>
      </c>
      <c r="F60" s="64"/>
      <c r="G60" s="48"/>
      <c r="H60" s="48"/>
      <c r="I60" s="48"/>
    </row>
    <row r="61" spans="2:9" x14ac:dyDescent="0.35">
      <c r="B61" s="1" t="s">
        <v>91</v>
      </c>
      <c r="C61" s="17">
        <f>+IF(SUM(C50:C60)&lt;0,0,SUM(C50:C60))</f>
        <v>0</v>
      </c>
      <c r="D61" s="17">
        <f>+IF(SUM(D50:D60)&lt;0,0,SUM(D50:D60))</f>
        <v>0</v>
      </c>
      <c r="E61" s="17">
        <f>+IF(SUM(E50:E60)&lt;0,0,SUM(E50:E60))</f>
        <v>0</v>
      </c>
      <c r="F61" s="64" t="s">
        <v>37</v>
      </c>
      <c r="G61" s="69">
        <f>IFERROR(UTI_24/VENTAS_24,0)</f>
        <v>0</v>
      </c>
      <c r="H61" s="69">
        <f>IFERROR(UTI_23/VENTAS_23,0)</f>
        <v>0</v>
      </c>
      <c r="I61" s="69">
        <f>IFERROR(UTI_22/VENTAS_22,0)</f>
        <v>0</v>
      </c>
    </row>
    <row r="62" spans="2:9" x14ac:dyDescent="0.35">
      <c r="B62" s="1" t="s">
        <v>92</v>
      </c>
      <c r="C62" s="17">
        <f>+IF(SUM(C50:C60)&lt;0,SUM(C50:C60),0)</f>
        <v>0</v>
      </c>
      <c r="D62" s="17">
        <f>+IF(SUM(D50:D60)&lt;0,SUM(D50:D60),0)</f>
        <v>0</v>
      </c>
      <c r="E62" s="17">
        <f>+IF(SUM(E50:E60)&lt;0,SUM(E50:E60),0)</f>
        <v>0</v>
      </c>
      <c r="F62" s="64"/>
      <c r="G62" s="48"/>
      <c r="H62" s="48"/>
      <c r="I62" s="48"/>
    </row>
    <row r="63" spans="2:9" x14ac:dyDescent="0.35">
      <c r="B63" s="1" t="s">
        <v>93</v>
      </c>
      <c r="C63" s="10">
        <f>'2025'!C63</f>
        <v>0</v>
      </c>
      <c r="D63" s="10">
        <v>0</v>
      </c>
      <c r="E63" s="10">
        <v>0</v>
      </c>
      <c r="F63" s="64" t="s">
        <v>39</v>
      </c>
      <c r="G63" s="70">
        <f>IFERROR(CV_24/VENTAS_24,0)</f>
        <v>0</v>
      </c>
      <c r="H63" s="70">
        <f>IFERROR(CV_23/VENTAS_23,0)</f>
        <v>0</v>
      </c>
      <c r="I63" s="70">
        <f>IFERROR(CV_22/VENTAS_22,0)</f>
        <v>0</v>
      </c>
    </row>
    <row r="64" spans="2:9" x14ac:dyDescent="0.35">
      <c r="B64" s="1" t="s">
        <v>94</v>
      </c>
      <c r="C64" s="17">
        <f>+IF(SUM(C61:C63)&lt;0,0,SUM(C61:C63))</f>
        <v>0</v>
      </c>
      <c r="D64" s="17">
        <f>+IF(SUM(D61:D63)&lt;0,0,SUM(D61:D63))</f>
        <v>0</v>
      </c>
      <c r="E64" s="17">
        <f>+IF(SUM(E61:E63)&lt;0,0,SUM(E61:E63))</f>
        <v>0</v>
      </c>
      <c r="F64" s="64"/>
      <c r="G64" s="48"/>
      <c r="H64" s="48"/>
      <c r="I64" s="48"/>
    </row>
    <row r="65" spans="2:5" x14ac:dyDescent="0.35">
      <c r="B65" s="1" t="s">
        <v>95</v>
      </c>
      <c r="C65" s="17">
        <f>+IF(SUM(C61:C63)&lt;0,SUM(C61:C63),0)</f>
        <v>0</v>
      </c>
      <c r="D65" s="17">
        <f>+IF(SUM(D61:D63)&lt;0,SUM(D61:D63),0)</f>
        <v>0</v>
      </c>
      <c r="E65" s="17">
        <f>+IF(SUM(E61:E63)&lt;0,SUM(E61:E63),0)</f>
        <v>0</v>
      </c>
    </row>
    <row r="66" spans="2:5" x14ac:dyDescent="0.35">
      <c r="B66" s="1" t="s">
        <v>96</v>
      </c>
      <c r="C66" s="10">
        <f>'2025'!C66</f>
        <v>0</v>
      </c>
      <c r="D66" s="10">
        <f>'2024'!C66</f>
        <v>0</v>
      </c>
      <c r="E66" s="10">
        <f>'2023'!C66</f>
        <v>0</v>
      </c>
    </row>
    <row r="67" spans="2:5" x14ac:dyDescent="0.35">
      <c r="B67" s="1" t="s">
        <v>97</v>
      </c>
      <c r="C67" s="17">
        <f>+IF(SUM(C64:C66)&lt;0,0,SUM(C64:C66))</f>
        <v>0</v>
      </c>
      <c r="D67" s="17">
        <f>+IF(SUM(D64:D66)&lt;0,0,SUM(D64:D66))</f>
        <v>0</v>
      </c>
      <c r="E67" s="17">
        <f>+IF(SUM(E64:E66)&lt;0,0,SUM(E64:E66))</f>
        <v>0</v>
      </c>
    </row>
    <row r="68" spans="2:5" ht="15.75" customHeight="1" x14ac:dyDescent="0.35">
      <c r="B68" s="1" t="s">
        <v>98</v>
      </c>
      <c r="C68" s="17">
        <f>+IF(SUM(C64:C66)&lt;0,SUM(C64:C66),0)</f>
        <v>0</v>
      </c>
      <c r="D68" s="17">
        <f>+IF(SUM(D64:D66)&lt;0,SUM(D64:D66),0)</f>
        <v>0</v>
      </c>
      <c r="E68" s="17">
        <f>+IF(SUM(E64:E66)&lt;0,SUM(E64:E66),0)</f>
        <v>0</v>
      </c>
    </row>
    <row r="69" spans="2:5" x14ac:dyDescent="0.35">
      <c r="B69" s="122" t="s">
        <v>99</v>
      </c>
      <c r="C69" s="128">
        <f>+IF(C67=0,C68,C67)</f>
        <v>0</v>
      </c>
      <c r="D69" s="128">
        <f>+IF(D67=0,D68,D67)</f>
        <v>0</v>
      </c>
      <c r="E69" s="128">
        <f>+IF(E67=0,E68,E67)</f>
        <v>0</v>
      </c>
    </row>
    <row r="70" spans="2:5" ht="15.75" customHeight="1" x14ac:dyDescent="0.35">
      <c r="B70" s="118"/>
      <c r="C70" s="121"/>
      <c r="D70" s="121"/>
      <c r="E70" s="121"/>
    </row>
    <row r="71" spans="2:5" x14ac:dyDescent="0.35">
      <c r="B71" s="48"/>
      <c r="C71" s="113">
        <f>+C69-G27</f>
        <v>0</v>
      </c>
      <c r="D71" s="113">
        <f>+D69-H27</f>
        <v>0</v>
      </c>
      <c r="E71" s="113">
        <f t="shared" ref="E71" si="1">+E69-I27</f>
        <v>0</v>
      </c>
    </row>
  </sheetData>
  <mergeCells count="20">
    <mergeCell ref="I15:I17"/>
    <mergeCell ref="H29:H31"/>
    <mergeCell ref="F15:F17"/>
    <mergeCell ref="C69:C70"/>
    <mergeCell ref="D69:D70"/>
    <mergeCell ref="I32:I36"/>
    <mergeCell ref="G15:G17"/>
    <mergeCell ref="D35:D36"/>
    <mergeCell ref="C35:C36"/>
    <mergeCell ref="E35:E36"/>
    <mergeCell ref="H15:H17"/>
    <mergeCell ref="H32:H36"/>
    <mergeCell ref="I29:I31"/>
    <mergeCell ref="B69:B70"/>
    <mergeCell ref="F29:F31"/>
    <mergeCell ref="G32:G36"/>
    <mergeCell ref="B35:B36"/>
    <mergeCell ref="F32:F36"/>
    <mergeCell ref="G29:G31"/>
    <mergeCell ref="E69:E70"/>
  </mergeCells>
  <conditionalFormatting sqref="C69:E70">
    <cfRule type="cellIs" dxfId="13" priority="2" operator="lessThan">
      <formula>0</formula>
    </cfRule>
  </conditionalFormatting>
  <conditionalFormatting sqref="H37:I37 G37:G38">
    <cfRule type="cellIs" dxfId="12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6"/>
  <sheetViews>
    <sheetView workbookViewId="0">
      <selection activeCell="D10" sqref="D10"/>
    </sheetView>
  </sheetViews>
  <sheetFormatPr defaultRowHeight="14.5" x14ac:dyDescent="0.35"/>
  <cols>
    <col min="3" max="3" width="40" customWidth="1"/>
    <col min="4" max="4" width="15.7265625" customWidth="1"/>
    <col min="5" max="5" width="15" customWidth="1"/>
    <col min="6" max="6" width="15.1796875" customWidth="1"/>
  </cols>
  <sheetData>
    <row r="2" spans="2:9" x14ac:dyDescent="0.35">
      <c r="B2" s="48"/>
      <c r="C2" s="47" t="s">
        <v>105</v>
      </c>
      <c r="D2" s="48">
        <v>2025</v>
      </c>
      <c r="E2" s="48">
        <v>2024</v>
      </c>
      <c r="F2" s="48">
        <v>2023</v>
      </c>
      <c r="I2" t="s">
        <v>189</v>
      </c>
    </row>
    <row r="3" spans="2:9" x14ac:dyDescent="0.35">
      <c r="B3" s="48"/>
      <c r="C3" s="48" t="s">
        <v>2</v>
      </c>
      <c r="D3" s="46">
        <f>'2023-2025'!C42</f>
        <v>0</v>
      </c>
      <c r="E3" s="46">
        <f>'2023-2025'!D42</f>
        <v>0</v>
      </c>
      <c r="F3" s="46">
        <f>'2023-2025'!E42</f>
        <v>0</v>
      </c>
    </row>
    <row r="4" spans="2:9" x14ac:dyDescent="0.35">
      <c r="B4" s="72">
        <v>1</v>
      </c>
      <c r="C4" s="47" t="s">
        <v>106</v>
      </c>
      <c r="D4" s="33">
        <f>+'2023-2025'!G42</f>
        <v>0</v>
      </c>
      <c r="E4" s="46">
        <f>'2023-2025'!D71</f>
        <v>0</v>
      </c>
      <c r="F4" s="46">
        <f>'2023-2025'!E71</f>
        <v>0</v>
      </c>
      <c r="I4" t="s">
        <v>190</v>
      </c>
    </row>
    <row r="5" spans="2:9" s="28" customFormat="1" ht="15" thickBot="1" x14ac:dyDescent="0.4">
      <c r="B5" s="38"/>
      <c r="C5" s="40" t="s">
        <v>107</v>
      </c>
      <c r="D5" s="34">
        <f>-('2025'!C28-'2024'!C28)</f>
        <v>0</v>
      </c>
      <c r="E5" s="33">
        <f>+'2023-2025'!E28-'2023-2025'!D28</f>
        <v>0</v>
      </c>
      <c r="F5" s="33"/>
      <c r="I5" s="28" t="s">
        <v>191</v>
      </c>
    </row>
    <row r="6" spans="2:9" s="28" customFormat="1" ht="15" thickBot="1" x14ac:dyDescent="0.4">
      <c r="B6" s="38">
        <v>2</v>
      </c>
      <c r="C6" s="47" t="s">
        <v>108</v>
      </c>
      <c r="D6" s="46">
        <f>IF(D5&gt;=0,D5,0)</f>
        <v>0</v>
      </c>
      <c r="E6" s="101">
        <f>IF(E5&gt;=0,E5,0)</f>
        <v>0</v>
      </c>
      <c r="F6" s="33"/>
      <c r="I6" s="28" t="s">
        <v>192</v>
      </c>
    </row>
    <row r="7" spans="2:9" s="28" customFormat="1" x14ac:dyDescent="0.35">
      <c r="B7" s="39" t="s">
        <v>109</v>
      </c>
      <c r="C7" s="36" t="s">
        <v>110</v>
      </c>
      <c r="D7" s="37">
        <f>+D4+D6</f>
        <v>0</v>
      </c>
      <c r="E7" s="37">
        <f>+E4+E6</f>
        <v>0</v>
      </c>
      <c r="F7" s="33"/>
      <c r="I7" s="28" t="s">
        <v>193</v>
      </c>
    </row>
    <row r="8" spans="2:9" s="28" customFormat="1" ht="15" thickBot="1" x14ac:dyDescent="0.4">
      <c r="C8" s="35" t="s">
        <v>111</v>
      </c>
      <c r="D8" s="34">
        <f>(+PASIV_24-'2023-2025'!G9)*0.33</f>
        <v>0</v>
      </c>
      <c r="E8" s="102"/>
      <c r="F8" s="33"/>
    </row>
    <row r="9" spans="2:9" s="28" customFormat="1" x14ac:dyDescent="0.35">
      <c r="C9" s="28" t="s">
        <v>112</v>
      </c>
      <c r="D9" s="33">
        <f>D7-D8</f>
        <v>0</v>
      </c>
      <c r="E9" s="33"/>
      <c r="F9" s="33"/>
    </row>
    <row r="10" spans="2:9" s="28" customFormat="1" x14ac:dyDescent="0.35">
      <c r="C10" s="48" t="s">
        <v>9</v>
      </c>
      <c r="D10" s="49" t="e">
        <f>+D9/SCORING_FINAL!E6</f>
        <v>#DIV/0!</v>
      </c>
      <c r="E10" s="49" t="e">
        <f>+E4/SCORING_FINAL!E6</f>
        <v>#DIV/0!</v>
      </c>
      <c r="F10" s="49" t="e">
        <f>+F4/SCORING_FINAL!E6</f>
        <v>#DIV/0!</v>
      </c>
    </row>
    <row r="11" spans="2:9" x14ac:dyDescent="0.35">
      <c r="B11" s="48"/>
      <c r="C11" s="73" t="s">
        <v>113</v>
      </c>
      <c r="D11" s="74">
        <f>SCORING_FINAL!K14</f>
        <v>0</v>
      </c>
      <c r="E11" s="48"/>
      <c r="F11" s="48"/>
    </row>
    <row r="12" spans="2:9" x14ac:dyDescent="0.35">
      <c r="B12" s="48"/>
      <c r="C12" s="73" t="s">
        <v>114</v>
      </c>
      <c r="D12" s="75">
        <f>SCORING_FINAL!K15</f>
        <v>0</v>
      </c>
      <c r="E12" s="48"/>
      <c r="F12" s="48"/>
    </row>
    <row r="13" spans="2:9" x14ac:dyDescent="0.35">
      <c r="B13" s="48"/>
      <c r="C13" s="48" t="s">
        <v>115</v>
      </c>
      <c r="D13" s="75">
        <f>IFERROR(D10/12,0)+D12</f>
        <v>0</v>
      </c>
      <c r="E13" s="49" t="e">
        <f>+E10/12</f>
        <v>#DIV/0!</v>
      </c>
      <c r="F13" s="49" t="e">
        <f>+F10/12</f>
        <v>#DIV/0!</v>
      </c>
    </row>
    <row r="16" spans="2:9" x14ac:dyDescent="0.35">
      <c r="B16" s="48"/>
      <c r="C16" s="48"/>
      <c r="D16" s="68"/>
      <c r="E16" s="48"/>
      <c r="F16" s="4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"/>
  <sheetViews>
    <sheetView tabSelected="1" topLeftCell="A2" zoomScale="80" zoomScaleNormal="80" workbookViewId="0">
      <selection activeCell="B16" sqref="B16"/>
    </sheetView>
  </sheetViews>
  <sheetFormatPr defaultRowHeight="14.5" x14ac:dyDescent="0.35"/>
  <cols>
    <col min="1" max="1" width="24" customWidth="1"/>
    <col min="2" max="2" width="14.26953125" customWidth="1"/>
    <col min="3" max="3" width="12" customWidth="1"/>
    <col min="4" max="4" width="19.54296875" customWidth="1"/>
    <col min="5" max="5" width="24" customWidth="1"/>
    <col min="6" max="6" width="30" customWidth="1"/>
    <col min="7" max="7" width="12" customWidth="1"/>
    <col min="8" max="8" width="20.1796875" customWidth="1"/>
    <col min="9" max="9" width="33.26953125" customWidth="1"/>
    <col min="10" max="10" width="38.453125" customWidth="1"/>
    <col min="11" max="11" width="25.81640625" customWidth="1"/>
  </cols>
  <sheetData>
    <row r="1" spans="1:11" ht="24" customHeight="1" x14ac:dyDescent="0.35">
      <c r="A1" s="137" t="s">
        <v>116</v>
      </c>
      <c r="B1" s="134"/>
      <c r="C1" s="134"/>
      <c r="D1" s="134"/>
      <c r="E1" s="134"/>
      <c r="F1" s="134"/>
      <c r="G1" s="134"/>
      <c r="H1" s="134"/>
      <c r="I1" s="48"/>
      <c r="J1" s="76" t="s">
        <v>117</v>
      </c>
      <c r="K1" s="77"/>
    </row>
    <row r="2" spans="1:11" ht="20.149999999999999" customHeight="1" x14ac:dyDescent="0.35">
      <c r="A2" s="63" t="s">
        <v>118</v>
      </c>
      <c r="B2" s="78"/>
      <c r="C2" s="79"/>
      <c r="D2" s="79"/>
      <c r="E2" s="79"/>
      <c r="F2" s="79"/>
      <c r="G2" s="79"/>
      <c r="H2" s="79"/>
      <c r="I2" s="48"/>
      <c r="J2" s="80" t="s">
        <v>119</v>
      </c>
      <c r="K2" s="81">
        <f>Comparivo!D13</f>
        <v>0</v>
      </c>
    </row>
    <row r="3" spans="1:11" ht="20.149999999999999" customHeight="1" x14ac:dyDescent="0.35">
      <c r="A3" s="63" t="s">
        <v>120</v>
      </c>
      <c r="B3" s="82"/>
      <c r="C3" s="48"/>
      <c r="D3" s="83" t="s">
        <v>121</v>
      </c>
      <c r="E3" s="84"/>
      <c r="F3" s="48"/>
      <c r="G3" s="48"/>
      <c r="H3" s="48"/>
      <c r="I3" s="48"/>
      <c r="J3" s="80" t="s">
        <v>122</v>
      </c>
      <c r="K3" s="81">
        <f>IFERROR($B$7/$K$6,0)</f>
        <v>0</v>
      </c>
    </row>
    <row r="4" spans="1:11" ht="20.149999999999999" customHeight="1" x14ac:dyDescent="0.35">
      <c r="A4" s="63" t="s">
        <v>123</v>
      </c>
      <c r="B4" s="85"/>
      <c r="C4" s="48"/>
      <c r="D4" s="83" t="s">
        <v>124</v>
      </c>
      <c r="E4" s="110"/>
      <c r="F4" s="48"/>
      <c r="G4" s="48"/>
      <c r="H4" s="48"/>
      <c r="I4" s="48"/>
      <c r="J4" s="80" t="s">
        <v>125</v>
      </c>
      <c r="K4" s="81">
        <f>IFERROR($B$6/$K$6,0)</f>
        <v>0</v>
      </c>
    </row>
    <row r="5" spans="1:11" ht="20.149999999999999" customHeight="1" x14ac:dyDescent="0.35">
      <c r="A5" s="63" t="s">
        <v>126</v>
      </c>
      <c r="B5" s="86"/>
      <c r="C5" s="48"/>
      <c r="D5" s="83" t="s">
        <v>127</v>
      </c>
      <c r="E5" s="111" t="e">
        <f>+B6/K13</f>
        <v>#DIV/0!</v>
      </c>
      <c r="F5" s="48"/>
      <c r="G5" s="48"/>
      <c r="H5" s="48"/>
      <c r="I5" s="48"/>
      <c r="J5" s="80" t="s">
        <v>128</v>
      </c>
      <c r="K5" s="87">
        <f>IFERROR(K2/K4,0)</f>
        <v>0</v>
      </c>
    </row>
    <row r="6" spans="1:11" ht="20.149999999999999" customHeight="1" x14ac:dyDescent="0.35">
      <c r="A6" s="63" t="s">
        <v>129</v>
      </c>
      <c r="B6" s="88">
        <v>0</v>
      </c>
      <c r="C6" s="48"/>
      <c r="D6" s="83" t="s">
        <v>130</v>
      </c>
      <c r="E6" s="84"/>
      <c r="F6" s="48"/>
      <c r="G6" s="138" t="s">
        <v>131</v>
      </c>
      <c r="H6" s="139" t="s">
        <v>173</v>
      </c>
      <c r="I6" s="48"/>
      <c r="J6" s="80" t="s">
        <v>132</v>
      </c>
      <c r="K6" s="89"/>
    </row>
    <row r="7" spans="1:11" ht="20.149999999999999" customHeight="1" x14ac:dyDescent="0.35">
      <c r="A7" s="63" t="s">
        <v>133</v>
      </c>
      <c r="B7" s="88">
        <f>+E6*B6</f>
        <v>0</v>
      </c>
      <c r="C7" s="48"/>
      <c r="D7" s="83" t="s">
        <v>134</v>
      </c>
      <c r="E7" s="84" t="s">
        <v>178</v>
      </c>
      <c r="F7" s="48"/>
      <c r="G7" s="138"/>
      <c r="H7" s="139"/>
      <c r="I7" s="48"/>
      <c r="J7" s="133" t="s">
        <v>135</v>
      </c>
      <c r="K7" s="136" t="s">
        <v>136</v>
      </c>
    </row>
    <row r="8" spans="1:11" ht="34" customHeight="1" x14ac:dyDescent="0.35">
      <c r="A8" s="90" t="s">
        <v>137</v>
      </c>
      <c r="B8" s="90" t="s">
        <v>138</v>
      </c>
      <c r="C8" s="90" t="s">
        <v>139</v>
      </c>
      <c r="D8" s="90" t="s">
        <v>140</v>
      </c>
      <c r="E8" s="90" t="s">
        <v>141</v>
      </c>
      <c r="F8" s="90" t="s">
        <v>142</v>
      </c>
      <c r="G8" s="48"/>
      <c r="H8" s="90" t="s">
        <v>143</v>
      </c>
      <c r="I8" s="90" t="s">
        <v>138</v>
      </c>
      <c r="J8" s="134"/>
      <c r="K8" s="134"/>
    </row>
    <row r="9" spans="1:11" ht="20.149999999999999" customHeight="1" x14ac:dyDescent="0.35">
      <c r="A9" s="28" t="s">
        <v>24</v>
      </c>
      <c r="B9" s="41">
        <f>IFERROR(INDEX('2023-2025'!$G$55:$I$55,1,MATCH($E$3,'2023-2025'!$G$54:$I$54,0)),0)</f>
        <v>0</v>
      </c>
      <c r="C9" s="28">
        <f>IF(B9&gt;1.5,5,IF(B9&gt;1,4,IF(B9&gt;0.8,3,IF(B9&gt;0.5,2,1))))</f>
        <v>1</v>
      </c>
      <c r="D9" s="42">
        <v>20</v>
      </c>
      <c r="E9" s="41">
        <f>C9*D9/100</f>
        <v>0.2</v>
      </c>
      <c r="F9" s="28" t="s">
        <v>144</v>
      </c>
      <c r="G9" s="48"/>
      <c r="H9" s="83" t="s">
        <v>145</v>
      </c>
      <c r="I9" s="91">
        <f>IFERROR(SUM(E9:E15)/(SUM(D9:D15)/100),0)</f>
        <v>0</v>
      </c>
      <c r="J9" s="135" t="s">
        <v>146</v>
      </c>
      <c r="K9" s="134"/>
    </row>
    <row r="10" spans="1:11" ht="20.149999999999999" customHeight="1" x14ac:dyDescent="0.35">
      <c r="A10" s="28" t="s">
        <v>126</v>
      </c>
      <c r="B10" s="41">
        <f>B5</f>
        <v>0</v>
      </c>
      <c r="C10" s="28">
        <f>IF(B10="Excelente",5,IF(B10="Bueno",4,IF(B10="Regular",3,IF(B10="Malo",1,IF(B10="Sin score",3,0)))))</f>
        <v>0</v>
      </c>
      <c r="D10" s="42">
        <v>20</v>
      </c>
      <c r="E10" s="41">
        <f t="shared" ref="E9:E15" si="0">C10*D10/100</f>
        <v>0</v>
      </c>
      <c r="F10" s="28" t="s">
        <v>147</v>
      </c>
      <c r="G10" s="48"/>
      <c r="H10" s="83" t="s">
        <v>148</v>
      </c>
      <c r="I10" s="92" t="str">
        <f>IF(I9&gt;=4.5,"A",IF(I9&gt;=3.5,"B",IF(I9&gt;=3,"C",IF(I9&gt;=2,"D","E"))))</f>
        <v>E</v>
      </c>
      <c r="J10" s="48" t="s">
        <v>149</v>
      </c>
      <c r="K10" s="93"/>
    </row>
    <row r="11" spans="1:11" ht="20.149999999999999" customHeight="1" x14ac:dyDescent="0.35">
      <c r="A11" s="28" t="s">
        <v>103</v>
      </c>
      <c r="B11" s="41">
        <f>IFERROR(INDEX('2023-2025'!$G$59:$I$59,1,MATCH($E$3,'2023-2025'!$G$54:$I$54,0)),0)</f>
        <v>0</v>
      </c>
      <c r="C11" s="28">
        <f>IF(B11&lt;=1,5,IF(B11&lt;=2,4,IF(B11&lt;=2.5,3,IF(B11&lt;=4,2,1))))</f>
        <v>5</v>
      </c>
      <c r="D11" s="42">
        <v>20</v>
      </c>
      <c r="E11" s="41">
        <f t="shared" si="0"/>
        <v>1</v>
      </c>
      <c r="F11" s="28" t="s">
        <v>144</v>
      </c>
      <c r="G11" s="48"/>
      <c r="H11" s="83" t="s">
        <v>150</v>
      </c>
      <c r="I11" s="94" t="e">
        <f>IF(OR($H$6="",$E$7=""),"Seleccione tipo de producto/financiamiento",IF($E$5&gt;$I$15,"Excede política: requiere aprobación CFO",IF(I10="A","Riesgo muy bajo",IF(I10="B","Riesgo bajo",IF(I10="C","Riesgo medio",IF(I10="D","Riesgo alto","Riesgo muy alto"))))))</f>
        <v>#DIV/0!</v>
      </c>
      <c r="J11" s="48" t="s">
        <v>151</v>
      </c>
      <c r="K11" s="93">
        <v>0</v>
      </c>
    </row>
    <row r="12" spans="1:11" ht="24.75" customHeight="1" x14ac:dyDescent="0.35">
      <c r="A12" s="28" t="s">
        <v>124</v>
      </c>
      <c r="B12" s="41">
        <f>$E$4</f>
        <v>0</v>
      </c>
      <c r="C12" s="28">
        <f>IF(B12&gt;=750,5,IF(B12&gt;=650,4,IF(B12&gt;=550,3,IF(B12&gt;=450,2,1))))</f>
        <v>1</v>
      </c>
      <c r="D12" s="42">
        <v>15</v>
      </c>
      <c r="E12" s="41">
        <f t="shared" si="0"/>
        <v>0.15</v>
      </c>
      <c r="F12" s="28" t="s">
        <v>147</v>
      </c>
      <c r="G12" s="48"/>
      <c r="H12" s="27" t="s">
        <v>152</v>
      </c>
      <c r="I12" s="100" t="str">
        <f>IF(OR($H$6="",$E$7=""),"Seleccione tipo de producto/financiamiento",IF(OR(I10="D",I10="E"),"🔴 NO APROBADO",IF(I14="Excede política","🟡 REVISAR CFO",IF(I10="C","🟡 REVISAR CFO","🟢 APROBADO"))))</f>
        <v>🔴 NO APROBADO</v>
      </c>
      <c r="J12" s="48" t="s">
        <v>153</v>
      </c>
      <c r="K12" s="89"/>
    </row>
    <row r="13" spans="1:11" ht="20.149999999999999" customHeight="1" x14ac:dyDescent="0.35">
      <c r="A13" s="28" t="s">
        <v>37</v>
      </c>
      <c r="B13" s="41">
        <f>IFERROR(INDEX('2023-2025'!$G$61:$I$61,1,MATCH($E$3,'2023-2025'!$G$54:$I$54,0)),0)</f>
        <v>0</v>
      </c>
      <c r="C13" s="28">
        <f>IF(B13&gt;=0.1,5,IF(B13&gt;=0.08,4,IF(B13&gt;=0.05,3,IF(B13&gt;=0.03,2,1))))</f>
        <v>1</v>
      </c>
      <c r="D13" s="42">
        <v>10</v>
      </c>
      <c r="E13" s="41">
        <f t="shared" si="0"/>
        <v>0.1</v>
      </c>
      <c r="F13" s="43" t="s">
        <v>144</v>
      </c>
      <c r="G13" s="48"/>
      <c r="H13" s="83" t="s">
        <v>154</v>
      </c>
      <c r="I13" s="95" t="s">
        <v>155</v>
      </c>
      <c r="J13" s="48" t="s">
        <v>146</v>
      </c>
      <c r="K13" s="96">
        <f>+(K10-K11)*K12</f>
        <v>0</v>
      </c>
    </row>
    <row r="14" spans="1:11" ht="20.149999999999999" customHeight="1" x14ac:dyDescent="0.35">
      <c r="A14" s="28" t="s">
        <v>156</v>
      </c>
      <c r="B14" s="41">
        <f>IFERROR(INDEX('2023-2025'!$G$57:$I$57,1,MATCH($E$3,'2023-2025'!$G$54:$I$54,0)),0)</f>
        <v>0</v>
      </c>
      <c r="C14" s="28">
        <f>IF(B14&gt;1.2,5,IF(B14&gt;1,4,IF(B14&gt;0.8,3,IF(B14&gt;0.6,2,1))))</f>
        <v>1</v>
      </c>
      <c r="D14" s="42">
        <v>5</v>
      </c>
      <c r="E14" s="41">
        <f t="shared" si="0"/>
        <v>0.05</v>
      </c>
      <c r="F14" s="28" t="s">
        <v>144</v>
      </c>
      <c r="G14" s="48"/>
      <c r="H14" s="21" t="s">
        <v>157</v>
      </c>
      <c r="I14" s="22" t="e">
        <f>IF(OR($H$6="",$E$7=""),"Seleccione tipo de producto/financiamiento",IF($E$5&gt;$I$15,"Excede política","Dentro de política"))</f>
        <v>#DIV/0!</v>
      </c>
      <c r="J14" s="73" t="s">
        <v>113</v>
      </c>
      <c r="K14" s="74"/>
    </row>
    <row r="15" spans="1:11" ht="20.149999999999999" customHeight="1" x14ac:dyDescent="0.35">
      <c r="A15" s="44" t="s">
        <v>158</v>
      </c>
      <c r="B15" s="45" t="e">
        <f>K2/K4</f>
        <v>#DIV/0!</v>
      </c>
      <c r="C15" s="28" t="e">
        <f>IF(B15&gt;=1,5,IF(B15&gt;=0.8,4,IF(B15&gt;=0.6,3,IF(B15&gt;=0.4,2,1))))</f>
        <v>#DIV/0!</v>
      </c>
      <c r="D15" s="42">
        <v>10</v>
      </c>
      <c r="E15" s="41" t="e">
        <f t="shared" si="0"/>
        <v>#DIV/0!</v>
      </c>
      <c r="F15" s="28" t="s">
        <v>147</v>
      </c>
      <c r="G15" s="48"/>
      <c r="H15" s="23" t="s">
        <v>159</v>
      </c>
      <c r="I15" s="24">
        <f>IF($E$7="Financiamiento con leasing",$K$1*0.5,IF($H$6="Buses",0.2,IF($H$6="VCE",0.5,IF($H$6="Trucks",0.3,""))))</f>
        <v>0</v>
      </c>
      <c r="J15" s="73" t="s">
        <v>114</v>
      </c>
      <c r="K15" s="75">
        <f>IFERROR(VLOOKUP(K14,LISTAS!G:H,2,FALSE),0)*K12</f>
        <v>0</v>
      </c>
    </row>
    <row r="16" spans="1:11" ht="20.149999999999999" customHeight="1" x14ac:dyDescent="0.35">
      <c r="A16" s="48"/>
      <c r="B16" s="48"/>
      <c r="C16" s="48"/>
      <c r="D16" s="97">
        <f>SUM(D9:D15)</f>
        <v>100</v>
      </c>
      <c r="E16" s="48"/>
      <c r="F16" s="48"/>
      <c r="G16" s="48"/>
      <c r="H16" s="25" t="s">
        <v>160</v>
      </c>
      <c r="I16" s="26" t="e">
        <f>IF(OR($H$6="",$E$7="",$I$15=""),"",MAX($E$5-$I$15,0))</f>
        <v>#DIV/0!</v>
      </c>
      <c r="J16" s="48"/>
      <c r="K16" s="48"/>
    </row>
    <row r="17" spans="1:9" ht="20.149999999999999" customHeight="1" x14ac:dyDescent="0.35">
      <c r="A17" s="48"/>
      <c r="B17" s="48"/>
    </row>
    <row r="18" spans="1:9" ht="20.149999999999999" customHeight="1" x14ac:dyDescent="0.35">
      <c r="A18" s="48"/>
      <c r="B18" s="48"/>
    </row>
    <row r="19" spans="1:9" ht="20.149999999999999" customHeight="1" x14ac:dyDescent="0.35">
      <c r="A19" s="104" t="s">
        <v>194</v>
      </c>
      <c r="B19" s="104" t="s">
        <v>195</v>
      </c>
      <c r="C19" s="105" t="s">
        <v>37</v>
      </c>
      <c r="H19" s="103">
        <v>2026</v>
      </c>
      <c r="I19" s="108"/>
    </row>
    <row r="20" spans="1:9" ht="20.149999999999999" customHeight="1" x14ac:dyDescent="0.35">
      <c r="A20" s="104">
        <v>2023</v>
      </c>
      <c r="B20" s="71">
        <f>+'2023-2025'!I41</f>
        <v>0</v>
      </c>
      <c r="C20" s="106">
        <f>+'2023-2025'!I61</f>
        <v>0</v>
      </c>
      <c r="H20" s="103" t="s">
        <v>196</v>
      </c>
      <c r="I20" s="109"/>
    </row>
    <row r="21" spans="1:9" x14ac:dyDescent="0.35">
      <c r="A21" s="104">
        <v>2024</v>
      </c>
      <c r="B21" s="71">
        <f>+'2023-2025'!H41</f>
        <v>0</v>
      </c>
      <c r="C21" s="106">
        <f>+'2023-2025'!H61</f>
        <v>0</v>
      </c>
    </row>
    <row r="22" spans="1:9" x14ac:dyDescent="0.35">
      <c r="A22" s="107">
        <v>2025</v>
      </c>
      <c r="B22" s="71">
        <f>+'2023-2025'!G41</f>
        <v>0</v>
      </c>
      <c r="C22" s="106">
        <f>+'2023-2025'!G61</f>
        <v>0</v>
      </c>
    </row>
    <row r="23" spans="1:9" x14ac:dyDescent="0.35">
      <c r="A23" s="104" t="s">
        <v>197</v>
      </c>
      <c r="B23" s="71" t="e">
        <f>+(I19/I20)*12</f>
        <v>#DIV/0!</v>
      </c>
      <c r="C23" s="105"/>
    </row>
  </sheetData>
  <mergeCells count="6">
    <mergeCell ref="J7:J8"/>
    <mergeCell ref="J9:K9"/>
    <mergeCell ref="K7:K8"/>
    <mergeCell ref="A1:H1"/>
    <mergeCell ref="G6:G7"/>
    <mergeCell ref="H6:H7"/>
  </mergeCells>
  <conditionalFormatting sqref="I10">
    <cfRule type="expression" dxfId="11" priority="1">
      <formula>OR(I10="A",I10="B")</formula>
    </cfRule>
    <cfRule type="expression" dxfId="10" priority="2">
      <formula>I10="C"</formula>
    </cfRule>
    <cfRule type="expression" dxfId="9" priority="3">
      <formula>OR(I10="D",I10="E")</formula>
    </cfRule>
  </conditionalFormatting>
  <conditionalFormatting sqref="I12">
    <cfRule type="expression" dxfId="8" priority="7" stopIfTrue="1">
      <formula>OR($I$10="A",$I$10="B")</formula>
    </cfRule>
    <cfRule type="expression" dxfId="7" priority="7">
      <formula>OR($I$10="A",$I$10="B")</formula>
    </cfRule>
    <cfRule type="expression" dxfId="6" priority="8" stopIfTrue="1">
      <formula>$I$10="C"</formula>
    </cfRule>
    <cfRule type="expression" dxfId="5" priority="8">
      <formula>$I$10="C"</formula>
    </cfRule>
    <cfRule type="expression" dxfId="4" priority="9" stopIfTrue="1">
      <formula>OR($I$10="D",$I$10="E")</formula>
    </cfRule>
    <cfRule type="expression" dxfId="3" priority="9">
      <formula>OR($I$10="D",$I$10="E")</formula>
    </cfRule>
    <cfRule type="expression" dxfId="2" priority="10">
      <formula>OR($I$10="A",$I$10="B")</formula>
    </cfRule>
    <cfRule type="expression" dxfId="1" priority="11">
      <formula>$I$10="C"</formula>
    </cfRule>
    <cfRule type="expression" dxfId="0" priority="12">
      <formula>OR($I$10="D",$I$10="E")</formula>
    </cfRule>
  </conditionalFormatting>
  <dataValidations count="1">
    <dataValidation type="decimal" errorStyle="warning" allowBlank="1" showErrorMessage="1" errorTitle="Porcentaje inválido" error="Ingrese un porcentaje entre 0% y 100%." sqref="E5 K1" xr:uid="{00000000-0002-0000-0500-000001000000}">
      <formula1>0</formula1>
      <formula2>1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ErrorMessage="1" errorTitle="Tipo inválido" error="Seleccione &quot;Financiamiento puro&quot; o &quot;Financiamiento con leasing&quot;." xr:uid="{00000000-0002-0000-0500-000000000000}">
          <x14:formula1>
            <xm:f>LISTAS!$E$2:$E$3</xm:f>
          </x14:formula1>
          <xm:sqref>E7</xm:sqref>
        </x14:dataValidation>
        <x14:dataValidation type="list" allowBlank="1" xr:uid="{00000000-0002-0000-0500-000002000000}">
          <x14:formula1>
            <xm:f>LISTAS!$B$2:$B$4</xm:f>
          </x14:formula1>
          <xm:sqref>E3</xm:sqref>
        </x14:dataValidation>
        <x14:dataValidation type="list" allowBlank="1" xr:uid="{00000000-0002-0000-0500-000003000000}">
          <x14:formula1>
            <xm:f>LISTAS!$A$2:$A$6</xm:f>
          </x14:formula1>
          <xm:sqref>B5</xm:sqref>
        </x14:dataValidation>
        <x14:dataValidation type="list" xr:uid="{00000000-0002-0000-0500-000004000000}">
          <x14:formula1>
            <xm:f>LISTAS!$F$2:$F$4</xm:f>
          </x14:formula1>
          <xm:sqref>H6</xm:sqref>
        </x14:dataValidation>
        <x14:dataValidation type="list" xr:uid="{00000000-0002-0000-0500-000005000000}">
          <x14:formula1>
            <xm:f>LISTAS!$G$2:$G$6</xm:f>
          </x14:formula1>
          <xm:sqref>K14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selection activeCell="H11" sqref="H11"/>
    </sheetView>
  </sheetViews>
  <sheetFormatPr defaultRowHeight="14.5" x14ac:dyDescent="0.35"/>
  <cols>
    <col min="7" max="7" width="12.26953125" customWidth="1"/>
    <col min="8" max="8" width="16" customWidth="1"/>
  </cols>
  <sheetData>
    <row r="1" spans="1:8" x14ac:dyDescent="0.35">
      <c r="A1" s="48" t="s">
        <v>161</v>
      </c>
      <c r="B1" s="48" t="s">
        <v>162</v>
      </c>
      <c r="C1" s="48" t="s">
        <v>163</v>
      </c>
      <c r="D1" s="48" t="s">
        <v>164</v>
      </c>
      <c r="E1" s="48" t="s">
        <v>165</v>
      </c>
      <c r="F1" s="48" t="s">
        <v>166</v>
      </c>
      <c r="G1" s="98" t="s">
        <v>167</v>
      </c>
      <c r="H1" s="98" t="s">
        <v>168</v>
      </c>
    </row>
    <row r="2" spans="1:8" x14ac:dyDescent="0.35">
      <c r="A2" s="48" t="s">
        <v>169</v>
      </c>
      <c r="B2" s="48">
        <v>2023</v>
      </c>
      <c r="C2" s="48" t="s">
        <v>170</v>
      </c>
      <c r="D2" s="48" t="s">
        <v>171</v>
      </c>
      <c r="E2" s="48" t="s">
        <v>172</v>
      </c>
      <c r="F2" s="48" t="s">
        <v>173</v>
      </c>
      <c r="G2" s="48" t="s">
        <v>174</v>
      </c>
      <c r="H2" s="99">
        <v>8500</v>
      </c>
    </row>
    <row r="3" spans="1:8" x14ac:dyDescent="0.35">
      <c r="A3" s="48" t="s">
        <v>175</v>
      </c>
      <c r="B3" s="48">
        <v>2024</v>
      </c>
      <c r="C3" s="48" t="s">
        <v>176</v>
      </c>
      <c r="D3" s="48" t="s">
        <v>177</v>
      </c>
      <c r="E3" s="48" t="s">
        <v>178</v>
      </c>
      <c r="F3" s="48" t="s">
        <v>179</v>
      </c>
      <c r="G3" s="48" t="s">
        <v>180</v>
      </c>
      <c r="H3" s="99">
        <v>7000</v>
      </c>
    </row>
    <row r="4" spans="1:8" x14ac:dyDescent="0.35">
      <c r="A4" s="48" t="s">
        <v>181</v>
      </c>
      <c r="B4" s="48">
        <v>2025</v>
      </c>
      <c r="C4" s="48" t="s">
        <v>182</v>
      </c>
      <c r="D4" s="48" t="s">
        <v>183</v>
      </c>
      <c r="E4" s="48"/>
      <c r="F4" s="48" t="s">
        <v>184</v>
      </c>
      <c r="G4" s="48" t="s">
        <v>185</v>
      </c>
      <c r="H4" s="99">
        <v>6000</v>
      </c>
    </row>
    <row r="5" spans="1:8" x14ac:dyDescent="0.35">
      <c r="A5" s="48" t="s">
        <v>186</v>
      </c>
      <c r="B5" s="48"/>
      <c r="C5" s="48"/>
      <c r="D5" s="48"/>
      <c r="E5" s="48"/>
      <c r="F5" s="48"/>
      <c r="G5" s="48" t="s">
        <v>187</v>
      </c>
      <c r="H5" s="99">
        <v>5000</v>
      </c>
    </row>
    <row r="6" spans="1:8" x14ac:dyDescent="0.35">
      <c r="A6" s="48" t="s">
        <v>188</v>
      </c>
      <c r="B6" s="48"/>
      <c r="C6" s="48"/>
      <c r="D6" s="48"/>
      <c r="E6" s="48"/>
      <c r="F6" s="48"/>
      <c r="G6" s="47" t="s">
        <v>184</v>
      </c>
      <c r="H6" s="99">
        <v>12000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f3b793-b434-4d1f-abd1-55ce4b5242b1" xsi:nil="true"/>
    <lcf76f155ced4ddcb4097134ff3c332f xmlns="e4d8fbff-a454-41c7-a42a-7156598d05f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it Collaboration Document" ma:contentTypeID="0x0101007A60771C5753A247A9E629B69FD0F51E09002818B4BC44A824469A462748329D5744" ma:contentTypeVersion="21" ma:contentTypeDescription="Create a new document." ma:contentTypeScope="" ma:versionID="9313d9d3c693795cca5e818d15419a45">
  <xsd:schema xmlns:xsd="http://www.w3.org/2001/XMLSchema" xmlns:xs="http://www.w3.org/2001/XMLSchema" xmlns:p="http://schemas.microsoft.com/office/2006/metadata/properties" xmlns:ns2="e4d8fbff-a454-41c7-a42a-7156598d05fa" xmlns:ns3="2af3b793-b434-4d1f-abd1-55ce4b5242b1" targetNamespace="http://schemas.microsoft.com/office/2006/metadata/properties" ma:root="true" ma:fieldsID="c8cf622c50224ac4ffe7fa8cf7544718" ns2:_="" ns3:_="">
    <xsd:import namespace="e4d8fbff-a454-41c7-a42a-7156598d05fa"/>
    <xsd:import namespace="2af3b793-b434-4d1f-abd1-55ce4b524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8fbff-a454-41c7-a42a-7156598d05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bda035-400f-4ee0-8922-1075bdfe8b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3b793-b434-4d1f-abd1-55ce4b5242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2e2c7e1-7641-430b-a421-609e1f41d5cb}" ma:internalName="TaxCatchAll" ma:showField="CatchAllData" ma:web="04962c28-ecdb-4bea-bd1e-82627dffc2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F17043-F5B7-4DBB-B541-4C74434C6C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6AED97-142C-4630-BA3B-A1BAF5A140E7}">
  <ds:schemaRefs>
    <ds:schemaRef ds:uri="http://schemas.microsoft.com/office/2006/metadata/properties"/>
    <ds:schemaRef ds:uri="http://schemas.microsoft.com/office/infopath/2007/PartnerControls"/>
    <ds:schemaRef ds:uri="2af3b793-b434-4d1f-abd1-55ce4b5242b1"/>
    <ds:schemaRef ds:uri="e4d8fbff-a454-41c7-a42a-7156598d05fa"/>
  </ds:schemaRefs>
</ds:datastoreItem>
</file>

<file path=customXml/itemProps3.xml><?xml version="1.0" encoding="utf-8"?>
<ds:datastoreItem xmlns:ds="http://schemas.openxmlformats.org/officeDocument/2006/customXml" ds:itemID="{912F16E6-E62D-4DC7-B938-67B0D4AB00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d8fbff-a454-41c7-a42a-7156598d05fa"/>
    <ds:schemaRef ds:uri="2af3b793-b434-4d1f-abd1-55ce4b524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d2ff15f-6ce8-47f3-93ce-f81f88196d24}" enabled="1" method="Privileged" siteId="{f25493ae-1c98-41d7-8a33-0be75f5fe6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15</vt:i4>
      </vt:variant>
    </vt:vector>
  </HeadingPairs>
  <TitlesOfParts>
    <vt:vector size="22" baseType="lpstr">
      <vt:lpstr>2023</vt:lpstr>
      <vt:lpstr>2024</vt:lpstr>
      <vt:lpstr>2025</vt:lpstr>
      <vt:lpstr>2023-2025</vt:lpstr>
      <vt:lpstr>Comparivo</vt:lpstr>
      <vt:lpstr>SCORING_FINAL</vt:lpstr>
      <vt:lpstr>LISTAS</vt:lpstr>
      <vt:lpstr>CV_22</vt:lpstr>
      <vt:lpstr>CV_23</vt:lpstr>
      <vt:lpstr>CV_24</vt:lpstr>
      <vt:lpstr>PASIV_22</vt:lpstr>
      <vt:lpstr>PASIV_23</vt:lpstr>
      <vt:lpstr>PASIV_24</vt:lpstr>
      <vt:lpstr>PATRI_23</vt:lpstr>
      <vt:lpstr>PATRI_24</vt:lpstr>
      <vt:lpstr>PATRIM_22</vt:lpstr>
      <vt:lpstr>UTI_22</vt:lpstr>
      <vt:lpstr>UTI_23</vt:lpstr>
      <vt:lpstr>UTI_24</vt:lpstr>
      <vt:lpstr>VENTAS_22</vt:lpstr>
      <vt:lpstr>VENTAS_23</vt:lpstr>
      <vt:lpstr>VENTAS_24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 Silvera</dc:creator>
  <cp:keywords/>
  <dc:description/>
  <cp:lastModifiedBy>Danixa Serrano</cp:lastModifiedBy>
  <cp:revision/>
  <dcterms:created xsi:type="dcterms:W3CDTF">2026-06-17T01:30:32Z</dcterms:created>
  <dcterms:modified xsi:type="dcterms:W3CDTF">2026-08-05T04:00:06Z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0x0101007A60771C5753A247A9E629B69FD0F51E09002818B4BC44A824469A462748329D5744</vt:lpwstr>
  </property>
  <property fmtid="{D5CDD505-2E9C-101B-9397-08002B2CF9AE}" pid="3" name="MediaServiceImageTags">
    <vt:lpwstr/>
  </property>
</Properties>
</file>